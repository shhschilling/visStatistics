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bd91d96eb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fik" sheetId="1" r:id="Reb66ef25603b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4">
    <x:font>
      <x:sz val="11"/>
      <x:name val="Carlito"/>
    </x:font>
    <x:font>
      <x:b/>
      <x:sz val="10"/>
      <x:name val="Arial"/>
    </x:font>
    <x:font>
      <x:b/>
      <x:sz val="11"/>
      <x:color rgb="FF77C5D8"/>
      <x:name val="Arial"/>
    </x:font>
    <x:font>
      <x:b/>
      <x:sz val="11"/>
      <x:color rgb="FFEC5A7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4a7441daa4d9f" /><Relationship Type="http://schemas.openxmlformats.org/officeDocument/2006/relationships/theme" Target="/xl/theme/theme1.xml" Id="R73bfa83ec8344ff2" /><Relationship Type="http://schemas.openxmlformats.org/officeDocument/2006/relationships/sharedStrings" Target="/xl/sharedStrings.xml" Id="R32cac0a5beb142f4" /><Relationship Type="http://schemas.openxmlformats.org/officeDocument/2006/relationships/worksheet" Target="/xl/worksheets/sheet1.xml" Id="Reb66ef25603b41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b34de56f0745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350">
                <a:latin typeface="Arial"/>
                <a:ea typeface="Arial"/>
                <a:cs typeface="Arial"/>
              </a:rPr>
              <a:t>Linksschiefe Verteilung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3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"/>
        <c:ser>
          <c:idx val="0"/>
          <c:order val="0"/>
          <c:tx>
            <c:v>Dichte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3813"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'Grafik'!$A$31:$A$231</c:f>
              <c:numCache>
                <c:formatCode>0.000</c:formatCode>
                <c:ptCount val="201"/>
                <c:pt idx="0">
                  <c:v>5</c:v>
                </c:pt>
                <c:pt idx="1">
                  <c:v>5.025</c:v>
                </c:pt>
                <c:pt idx="2">
                  <c:v>5.05</c:v>
                </c:pt>
                <c:pt idx="3">
                  <c:v>5.075</c:v>
                </c:pt>
                <c:pt idx="4">
                  <c:v>5.1</c:v>
                </c:pt>
                <c:pt idx="5">
                  <c:v>5.125</c:v>
                </c:pt>
                <c:pt idx="6">
                  <c:v>5.15</c:v>
                </c:pt>
                <c:pt idx="7">
                  <c:v>5.175</c:v>
                </c:pt>
                <c:pt idx="8">
                  <c:v>5.2</c:v>
                </c:pt>
                <c:pt idx="9">
                  <c:v>5.225</c:v>
                </c:pt>
                <c:pt idx="10">
                  <c:v>5.25</c:v>
                </c:pt>
                <c:pt idx="11">
                  <c:v>5.275</c:v>
                </c:pt>
                <c:pt idx="12">
                  <c:v>5.3</c:v>
                </c:pt>
                <c:pt idx="13">
                  <c:v>5.325</c:v>
                </c:pt>
                <c:pt idx="14">
                  <c:v>5.35</c:v>
                </c:pt>
                <c:pt idx="15">
                  <c:v>5.375</c:v>
                </c:pt>
                <c:pt idx="16">
                  <c:v>5.4</c:v>
                </c:pt>
                <c:pt idx="17">
                  <c:v>5.425</c:v>
                </c:pt>
                <c:pt idx="18">
                  <c:v>5.45</c:v>
                </c:pt>
                <c:pt idx="19">
                  <c:v>5.475</c:v>
                </c:pt>
                <c:pt idx="20">
                  <c:v>5.5</c:v>
                </c:pt>
                <c:pt idx="21">
                  <c:v>5.525</c:v>
                </c:pt>
                <c:pt idx="22">
                  <c:v>5.55</c:v>
                </c:pt>
                <c:pt idx="23">
                  <c:v>5.575</c:v>
                </c:pt>
                <c:pt idx="24">
                  <c:v>5.6</c:v>
                </c:pt>
                <c:pt idx="25">
                  <c:v>5.625</c:v>
                </c:pt>
                <c:pt idx="26">
                  <c:v>5.65</c:v>
                </c:pt>
                <c:pt idx="27">
                  <c:v>5.675</c:v>
                </c:pt>
                <c:pt idx="28">
                  <c:v>5.7</c:v>
                </c:pt>
                <c:pt idx="29">
                  <c:v>5.725</c:v>
                </c:pt>
                <c:pt idx="30">
                  <c:v>5.75</c:v>
                </c:pt>
                <c:pt idx="31">
                  <c:v>5.775</c:v>
                </c:pt>
                <c:pt idx="32">
                  <c:v>5.8</c:v>
                </c:pt>
                <c:pt idx="33">
                  <c:v>5.825</c:v>
                </c:pt>
                <c:pt idx="34">
                  <c:v>5.85</c:v>
                </c:pt>
                <c:pt idx="35">
                  <c:v>5.875</c:v>
                </c:pt>
                <c:pt idx="36">
                  <c:v>5.9</c:v>
                </c:pt>
                <c:pt idx="37">
                  <c:v>5.925</c:v>
                </c:pt>
                <c:pt idx="38">
                  <c:v>5.95</c:v>
                </c:pt>
                <c:pt idx="39">
                  <c:v>5.975</c:v>
                </c:pt>
                <c:pt idx="40">
                  <c:v>6</c:v>
                </c:pt>
                <c:pt idx="41">
                  <c:v>6.025</c:v>
                </c:pt>
                <c:pt idx="42">
                  <c:v>6.05</c:v>
                </c:pt>
                <c:pt idx="43">
                  <c:v>6.075</c:v>
                </c:pt>
                <c:pt idx="44">
                  <c:v>6.1</c:v>
                </c:pt>
                <c:pt idx="45">
                  <c:v>6.125</c:v>
                </c:pt>
                <c:pt idx="46">
                  <c:v>6.15</c:v>
                </c:pt>
                <c:pt idx="47">
                  <c:v>6.175</c:v>
                </c:pt>
                <c:pt idx="48">
                  <c:v>6.2</c:v>
                </c:pt>
                <c:pt idx="49">
                  <c:v>6.225</c:v>
                </c:pt>
                <c:pt idx="50">
                  <c:v>6.25</c:v>
                </c:pt>
                <c:pt idx="51">
                  <c:v>6.275</c:v>
                </c:pt>
                <c:pt idx="52">
                  <c:v>6.3</c:v>
                </c:pt>
                <c:pt idx="53">
                  <c:v>6.325</c:v>
                </c:pt>
                <c:pt idx="54">
                  <c:v>6.35</c:v>
                </c:pt>
                <c:pt idx="55">
                  <c:v>6.375</c:v>
                </c:pt>
                <c:pt idx="56">
                  <c:v>6.4</c:v>
                </c:pt>
                <c:pt idx="57">
                  <c:v>6.425</c:v>
                </c:pt>
                <c:pt idx="58">
                  <c:v>6.45</c:v>
                </c:pt>
                <c:pt idx="59">
                  <c:v>6.475</c:v>
                </c:pt>
                <c:pt idx="60">
                  <c:v>6.5</c:v>
                </c:pt>
                <c:pt idx="61">
                  <c:v>6.525</c:v>
                </c:pt>
                <c:pt idx="62">
                  <c:v>6.55</c:v>
                </c:pt>
                <c:pt idx="63">
                  <c:v>6.575</c:v>
                </c:pt>
                <c:pt idx="64">
                  <c:v>6.6</c:v>
                </c:pt>
                <c:pt idx="65">
                  <c:v>6.625</c:v>
                </c:pt>
                <c:pt idx="66">
                  <c:v>6.65</c:v>
                </c:pt>
                <c:pt idx="67">
                  <c:v>6.675</c:v>
                </c:pt>
                <c:pt idx="68">
                  <c:v>6.7</c:v>
                </c:pt>
                <c:pt idx="69">
                  <c:v>6.725</c:v>
                </c:pt>
                <c:pt idx="70">
                  <c:v>6.75</c:v>
                </c:pt>
                <c:pt idx="71">
                  <c:v>6.775</c:v>
                </c:pt>
                <c:pt idx="72">
                  <c:v>6.8</c:v>
                </c:pt>
                <c:pt idx="73">
                  <c:v>6.825</c:v>
                </c:pt>
                <c:pt idx="74">
                  <c:v>6.85</c:v>
                </c:pt>
                <c:pt idx="75">
                  <c:v>6.875</c:v>
                </c:pt>
                <c:pt idx="76">
                  <c:v>6.9</c:v>
                </c:pt>
                <c:pt idx="77">
                  <c:v>6.925</c:v>
                </c:pt>
                <c:pt idx="78">
                  <c:v>6.95</c:v>
                </c:pt>
                <c:pt idx="79">
                  <c:v>6.975</c:v>
                </c:pt>
                <c:pt idx="80">
                  <c:v>7</c:v>
                </c:pt>
                <c:pt idx="81">
                  <c:v>7.025</c:v>
                </c:pt>
                <c:pt idx="82">
                  <c:v>7.05</c:v>
                </c:pt>
                <c:pt idx="83">
                  <c:v>7.075</c:v>
                </c:pt>
                <c:pt idx="84">
                  <c:v>7.1</c:v>
                </c:pt>
                <c:pt idx="85">
                  <c:v>7.125</c:v>
                </c:pt>
                <c:pt idx="86">
                  <c:v>7.15</c:v>
                </c:pt>
                <c:pt idx="87">
                  <c:v>7.175</c:v>
                </c:pt>
                <c:pt idx="88">
                  <c:v>7.2</c:v>
                </c:pt>
                <c:pt idx="89">
                  <c:v>7.225</c:v>
                </c:pt>
                <c:pt idx="90">
                  <c:v>7.25</c:v>
                </c:pt>
                <c:pt idx="91">
                  <c:v>7.275</c:v>
                </c:pt>
                <c:pt idx="92">
                  <c:v>7.3</c:v>
                </c:pt>
                <c:pt idx="93">
                  <c:v>7.325</c:v>
                </c:pt>
                <c:pt idx="94">
                  <c:v>7.35</c:v>
                </c:pt>
                <c:pt idx="95">
                  <c:v>7.375</c:v>
                </c:pt>
                <c:pt idx="96">
                  <c:v>7.4</c:v>
                </c:pt>
                <c:pt idx="97">
                  <c:v>7.425</c:v>
                </c:pt>
                <c:pt idx="98">
                  <c:v>7.45</c:v>
                </c:pt>
                <c:pt idx="99">
                  <c:v>7.475</c:v>
                </c:pt>
                <c:pt idx="100">
                  <c:v>7.5</c:v>
                </c:pt>
                <c:pt idx="101">
                  <c:v>7.525</c:v>
                </c:pt>
                <c:pt idx="102">
                  <c:v>7.55</c:v>
                </c:pt>
                <c:pt idx="103">
                  <c:v>7.575</c:v>
                </c:pt>
                <c:pt idx="104">
                  <c:v>7.6</c:v>
                </c:pt>
                <c:pt idx="105">
                  <c:v>7.625</c:v>
                </c:pt>
                <c:pt idx="106">
                  <c:v>7.65</c:v>
                </c:pt>
                <c:pt idx="107">
                  <c:v>7.675</c:v>
                </c:pt>
                <c:pt idx="108">
                  <c:v>7.7</c:v>
                </c:pt>
                <c:pt idx="109">
                  <c:v>7.725</c:v>
                </c:pt>
                <c:pt idx="110">
                  <c:v>7.75</c:v>
                </c:pt>
                <c:pt idx="111">
                  <c:v>7.775</c:v>
                </c:pt>
                <c:pt idx="112">
                  <c:v>7.8</c:v>
                </c:pt>
                <c:pt idx="113">
                  <c:v>7.825</c:v>
                </c:pt>
                <c:pt idx="114">
                  <c:v>7.85</c:v>
                </c:pt>
                <c:pt idx="115">
                  <c:v>7.875</c:v>
                </c:pt>
                <c:pt idx="116">
                  <c:v>7.9</c:v>
                </c:pt>
                <c:pt idx="117">
                  <c:v>7.925</c:v>
                </c:pt>
                <c:pt idx="118">
                  <c:v>7.95</c:v>
                </c:pt>
                <c:pt idx="119">
                  <c:v>7.975</c:v>
                </c:pt>
                <c:pt idx="120">
                  <c:v>8</c:v>
                </c:pt>
                <c:pt idx="121">
                  <c:v>8.025</c:v>
                </c:pt>
                <c:pt idx="122">
                  <c:v>8.05</c:v>
                </c:pt>
                <c:pt idx="123">
                  <c:v>8.075</c:v>
                </c:pt>
                <c:pt idx="124">
                  <c:v>8.1</c:v>
                </c:pt>
                <c:pt idx="125">
                  <c:v>8.125</c:v>
                </c:pt>
                <c:pt idx="126">
                  <c:v>8.15</c:v>
                </c:pt>
                <c:pt idx="127">
                  <c:v>8.175</c:v>
                </c:pt>
                <c:pt idx="128">
                  <c:v>8.2</c:v>
                </c:pt>
                <c:pt idx="129">
                  <c:v>8.225</c:v>
                </c:pt>
                <c:pt idx="130">
                  <c:v>8.25</c:v>
                </c:pt>
                <c:pt idx="131">
                  <c:v>8.275</c:v>
                </c:pt>
                <c:pt idx="132">
                  <c:v>8.3</c:v>
                </c:pt>
                <c:pt idx="133">
                  <c:v>8.325</c:v>
                </c:pt>
                <c:pt idx="134">
                  <c:v>8.35</c:v>
                </c:pt>
                <c:pt idx="135">
                  <c:v>8.375</c:v>
                </c:pt>
                <c:pt idx="136">
                  <c:v>8.4</c:v>
                </c:pt>
                <c:pt idx="137">
                  <c:v>8.425</c:v>
                </c:pt>
                <c:pt idx="138">
                  <c:v>8.45</c:v>
                </c:pt>
                <c:pt idx="139">
                  <c:v>8.475</c:v>
                </c:pt>
                <c:pt idx="140">
                  <c:v>8.5</c:v>
                </c:pt>
                <c:pt idx="141">
                  <c:v>8.525</c:v>
                </c:pt>
                <c:pt idx="142">
                  <c:v>8.55</c:v>
                </c:pt>
                <c:pt idx="143">
                  <c:v>8.575</c:v>
                </c:pt>
                <c:pt idx="144">
                  <c:v>8.6</c:v>
                </c:pt>
                <c:pt idx="145">
                  <c:v>8.625</c:v>
                </c:pt>
                <c:pt idx="146">
                  <c:v>8.65</c:v>
                </c:pt>
                <c:pt idx="147">
                  <c:v>8.675</c:v>
                </c:pt>
                <c:pt idx="148">
                  <c:v>8.7</c:v>
                </c:pt>
                <c:pt idx="149">
                  <c:v>8.725</c:v>
                </c:pt>
                <c:pt idx="150">
                  <c:v>8.75</c:v>
                </c:pt>
                <c:pt idx="151">
                  <c:v>8.775</c:v>
                </c:pt>
                <c:pt idx="152">
                  <c:v>8.8</c:v>
                </c:pt>
                <c:pt idx="153">
                  <c:v>8.825</c:v>
                </c:pt>
                <c:pt idx="154">
                  <c:v>8.85</c:v>
                </c:pt>
                <c:pt idx="155">
                  <c:v>8.875</c:v>
                </c:pt>
                <c:pt idx="156">
                  <c:v>8.9</c:v>
                </c:pt>
                <c:pt idx="157">
                  <c:v>8.925</c:v>
                </c:pt>
                <c:pt idx="158">
                  <c:v>8.95</c:v>
                </c:pt>
                <c:pt idx="159">
                  <c:v>8.975</c:v>
                </c:pt>
                <c:pt idx="160">
                  <c:v>9</c:v>
                </c:pt>
                <c:pt idx="161">
                  <c:v>9.025</c:v>
                </c:pt>
                <c:pt idx="162">
                  <c:v>9.05</c:v>
                </c:pt>
                <c:pt idx="163">
                  <c:v>9.075</c:v>
                </c:pt>
                <c:pt idx="164">
                  <c:v>9.1</c:v>
                </c:pt>
                <c:pt idx="165">
                  <c:v>9.125</c:v>
                </c:pt>
                <c:pt idx="166">
                  <c:v>9.15</c:v>
                </c:pt>
                <c:pt idx="167">
                  <c:v>9.175</c:v>
                </c:pt>
                <c:pt idx="168">
                  <c:v>9.2</c:v>
                </c:pt>
                <c:pt idx="169">
                  <c:v>9.225</c:v>
                </c:pt>
                <c:pt idx="170">
                  <c:v>9.25</c:v>
                </c:pt>
                <c:pt idx="171">
                  <c:v>9.275</c:v>
                </c:pt>
                <c:pt idx="172">
                  <c:v>9.3</c:v>
                </c:pt>
                <c:pt idx="173">
                  <c:v>9.325</c:v>
                </c:pt>
                <c:pt idx="174">
                  <c:v>9.35</c:v>
                </c:pt>
                <c:pt idx="175">
                  <c:v>9.375</c:v>
                </c:pt>
                <c:pt idx="176">
                  <c:v>9.4</c:v>
                </c:pt>
                <c:pt idx="177">
                  <c:v>9.425</c:v>
                </c:pt>
                <c:pt idx="178">
                  <c:v>9.45</c:v>
                </c:pt>
                <c:pt idx="179">
                  <c:v>9.475</c:v>
                </c:pt>
                <c:pt idx="180">
                  <c:v>9.5</c:v>
                </c:pt>
                <c:pt idx="181">
                  <c:v>9.525</c:v>
                </c:pt>
                <c:pt idx="182">
                  <c:v>9.55</c:v>
                </c:pt>
                <c:pt idx="183">
                  <c:v>9.575</c:v>
                </c:pt>
                <c:pt idx="184">
                  <c:v>9.6</c:v>
                </c:pt>
                <c:pt idx="185">
                  <c:v>9.625</c:v>
                </c:pt>
                <c:pt idx="186">
                  <c:v>9.65</c:v>
                </c:pt>
                <c:pt idx="187">
                  <c:v>9.675</c:v>
                </c:pt>
                <c:pt idx="188">
                  <c:v>9.7</c:v>
                </c:pt>
                <c:pt idx="189">
                  <c:v>9.725</c:v>
                </c:pt>
                <c:pt idx="190">
                  <c:v>9.75</c:v>
                </c:pt>
                <c:pt idx="191">
                  <c:v>9.775</c:v>
                </c:pt>
                <c:pt idx="192">
                  <c:v>9.8</c:v>
                </c:pt>
                <c:pt idx="193">
                  <c:v>9.825</c:v>
                </c:pt>
                <c:pt idx="194">
                  <c:v>9.85</c:v>
                </c:pt>
                <c:pt idx="195">
                  <c:v>9.875</c:v>
                </c:pt>
                <c:pt idx="196">
                  <c:v>9.9</c:v>
                </c:pt>
                <c:pt idx="197">
                  <c:v>9.925</c:v>
                </c:pt>
                <c:pt idx="198">
                  <c:v>9.95</c:v>
                </c:pt>
                <c:pt idx="199">
                  <c:v>9.975</c:v>
                </c:pt>
                <c:pt idx="200">
                  <c:v>10</c:v>
                </c:pt>
              </c:numCache>
            </c:numRef>
          </c:xVal>
          <c:yVal>
            <c:numRef>
              <c:f>'Grafik'!$B$31:$B$231</c:f>
              <c:numCache>
                <c:formatCode>0.0%</c:formatCode>
                <c:ptCount val="201"/>
                <c:pt idx="0">
                  <c:v>0.005772993363354435</c:v>
                </c:pt>
                <c:pt idx="1">
                  <c:v>0.0058489261504112555</c:v>
                </c:pt>
                <c:pt idx="2">
                  <c:v>0.005926097780454847</c:v>
                </c:pt>
                <c:pt idx="3">
                  <c:v>0.006004532585495875</c:v>
                </c:pt>
                <c:pt idx="4">
                  <c:v>0.006084255459119567</c:v>
                </c:pt>
                <c:pt idx="5">
                  <c:v>0.006165291871413852</c:v>
                </c:pt>
                <c:pt idx="6">
                  <c:v>0.00624766788434682</c:v>
                </c:pt>
                <c:pt idx="7">
                  <c:v>0.006331410167608557</c:v>
                </c:pt>
                <c:pt idx="8">
                  <c:v>0.006416546014933079</c:v>
                </c:pt>
                <c:pt idx="9">
                  <c:v>0.006503103360916452</c:v>
                </c:pt>
                <c:pt idx="10">
                  <c:v>0.006591110798348078</c:v>
                </c:pt>
                <c:pt idx="11">
                  <c:v>0.006680597596072436</c:v>
                </c:pt>
                <c:pt idx="12">
                  <c:v>0.006771593717399499</c:v>
                </c:pt>
                <c:pt idx="13">
                  <c:v>0.006864129839082565</c:v>
                </c:pt>
                <c:pt idx="14">
                  <c:v>0.006958237370882923</c:v>
                </c:pt>
                <c:pt idx="15">
                  <c:v>0.007053948475741699</c:v>
                </c:pt>
                <c:pt idx="16">
                  <c:v>0.00715129609057973</c:v>
                </c:pt>
                <c:pt idx="17">
                  <c:v>0.00725031394774734</c:v>
                </c:pt>
                <c:pt idx="18">
                  <c:v>0.007351036597146586</c:v>
                </c:pt>
                <c:pt idx="19">
                  <c:v>0.007453499429049398</c:v>
                </c:pt>
                <c:pt idx="20">
                  <c:v>0.0075577386976360995</c:v>
                </c:pt>
                <c:pt idx="21">
                  <c:v>0.00766379154527943</c:v>
                </c:pt>
                <c:pt idx="22">
                  <c:v>0.007771696027600503</c:v>
                </c:pt>
                <c:pt idx="23">
                  <c:v>0.007881491139323906</c:v>
                </c:pt>
                <c:pt idx="24">
                  <c:v>0.007993216840960262</c:v>
                </c:pt>
                <c:pt idx="25">
                  <c:v>0.008106914086345764</c:v>
                </c:pt>
                <c:pt idx="26">
                  <c:v>0.008222624851069157</c:v>
                </c:pt>
                <c:pt idx="27">
                  <c:v>0.008340392161818061</c:v>
                </c:pt>
                <c:pt idx="28">
                  <c:v>0.008460260126677572</c:v>
                </c:pt>
                <c:pt idx="29">
                  <c:v>0.008582273966415466</c:v>
                </c:pt>
                <c:pt idx="30">
                  <c:v>0.008706480046789672</c:v>
                </c:pt>
                <c:pt idx="31">
                  <c:v>0.008832925911915078</c:v>
                </c:pt>
                <c:pt idx="32">
                  <c:v>0.008961660318728195</c:v>
                </c:pt>
                <c:pt idx="33">
                  <c:v>0.009092733272589741</c:v>
                </c:pt>
                <c:pt idx="34">
                  <c:v>0.009226196064066758</c:v>
                </c:pt>
                <c:pt idx="35">
                  <c:v>0.009362101306937586</c:v>
                </c:pt>
                <c:pt idx="36">
                  <c:v>0.009500502977464716</c:v>
                </c:pt>
                <c:pt idx="37">
                  <c:v>0.009641456454982357</c:v>
                </c:pt>
                <c:pt idx="38">
                  <c:v>0.009785018563847406</c:v>
                </c:pt>
                <c:pt idx="39">
                  <c:v>0.009931247616804457</c:v>
                </c:pt>
                <c:pt idx="40">
                  <c:v>0.01008020345981762</c:v>
                </c:pt>
                <c:pt idx="41">
                  <c:v>0.010231947518423871</c:v>
                </c:pt>
                <c:pt idx="42">
                  <c:v>0.01038654284566505</c:v>
                </c:pt>
                <c:pt idx="43">
                  <c:v>0.010544054171657885</c:v>
                </c:pt>
                <c:pt idx="44">
                  <c:v>0.010704547954863593</c:v>
                </c:pt>
                <c:pt idx="45">
                  <c:v>0.010868092435121633</c:v>
                </c:pt>
                <c:pt idx="46">
                  <c:v>0.011034757688514215</c:v>
                </c:pt>
                <c:pt idx="47">
                  <c:v>0.011204615684131322</c:v>
                </c:pt>
                <c:pt idx="48">
                  <c:v>0.011377740342808687</c:v>
                </c:pt>
                <c:pt idx="49">
                  <c:v>0.011554207597914019</c:v>
                </c:pt>
                <c:pt idx="50">
                  <c:v>0.011734095458260173</c:v>
                </c:pt>
                <c:pt idx="51">
                  <c:v>0.011917484073226788</c:v>
                </c:pt>
                <c:pt idx="52">
                  <c:v>0.012104455800175577</c:v>
                </c:pt>
                <c:pt idx="53">
                  <c:v>0.012295095274247847</c:v>
                </c:pt>
                <c:pt idx="54">
                  <c:v>0.012489489480636324</c:v>
                </c:pt>
                <c:pt idx="55">
                  <c:v>0.012687727829427477</c:v>
                </c:pt>
                <c:pt idx="56">
                  <c:v>0.012889902233114087</c:v>
                </c:pt>
                <c:pt idx="57">
                  <c:v>0.01309610718688228</c:v>
                </c:pt>
                <c:pt idx="58">
                  <c:v>0.013306439851781302</c:v>
                </c:pt>
                <c:pt idx="59">
                  <c:v>0.013521000140888806</c:v>
                </c:pt>
                <c:pt idx="60">
                  <c:v>0.013739890808589205</c:v>
                </c:pt>
                <c:pt idx="61">
                  <c:v>0.013963217543087188</c:v>
                </c:pt>
                <c:pt idx="62">
                  <c:v>0.014191089062283882</c:v>
                </c:pt>
                <c:pt idx="63">
                  <c:v>0.014423617213148115</c:v>
                </c:pt>
                <c:pt idx="64">
                  <c:v>0.01466091707472058</c:v>
                </c:pt>
                <c:pt idx="65">
                  <c:v>0.014903107064894762</c:v>
                </c:pt>
                <c:pt idx="66">
                  <c:v>0.015150309051123785</c:v>
                </c:pt>
                <c:pt idx="67">
                  <c:v>0.01540264846520893</c:v>
                </c:pt>
                <c:pt idx="68">
                  <c:v>0.0156602544223316</c:v>
                </c:pt>
                <c:pt idx="69">
                  <c:v>0.01592325984449695</c:v>
                </c:pt>
                <c:pt idx="70">
                  <c:v>0.016191801588564685</c:v>
                </c:pt>
                <c:pt idx="71">
                  <c:v>0.016466020579048824</c:v>
                </c:pt>
                <c:pt idx="72">
                  <c:v>0.016746061945876193</c:v>
                </c:pt>
                <c:pt idx="73">
                  <c:v>0.01703207516730051</c:v>
                </c:pt>
                <c:pt idx="74">
                  <c:v>0.017324214218176662</c:v>
                </c:pt>
                <c:pt idx="75">
                  <c:v>0.01762263772380815</c:v>
                </c:pt>
                <c:pt idx="76">
                  <c:v>0.017927509119588448</c:v>
                </c:pt>
                <c:pt idx="77">
                  <c:v>0.01823899681666595</c:v>
                </c:pt>
                <c:pt idx="78">
                  <c:v>0.018557274373870596</c:v>
                </c:pt>
                <c:pt idx="79">
                  <c:v>0.01888252067614923</c:v>
                </c:pt>
                <c:pt idx="80">
                  <c:v>0.019214920119766343</c:v>
                </c:pt>
                <c:pt idx="81">
                  <c:v>0.019554662804535394</c:v>
                </c:pt>
                <c:pt idx="82">
                  <c:v>0.019901944733356415</c:v>
                </c:pt>
                <c:pt idx="83">
                  <c:v>0.020256968019344505</c:v>
                </c:pt>
                <c:pt idx="84">
                  <c:v>0.020619941100844048</c:v>
                </c:pt>
                <c:pt idx="85">
                  <c:v>0.0209910789646335</c:v>
                </c:pt>
                <c:pt idx="86">
                  <c:v>0.02137060337763511</c:v>
                </c:pt>
                <c:pt idx="87">
                  <c:v>0.021758743127454544</c:v>
                </c:pt>
                <c:pt idx="88">
                  <c:v>0.022155734272084924</c:v>
                </c:pt>
                <c:pt idx="89">
                  <c:v>0.022561820399119394</c:v>
                </c:pt>
                <c:pt idx="90">
                  <c:v>0.022977252894826813</c:v>
                </c:pt>
                <c:pt idx="91">
                  <c:v>0.02340229122345326</c:v>
                </c:pt>
                <c:pt idx="92">
                  <c:v>0.023837203217122155</c:v>
                </c:pt>
                <c:pt idx="93">
                  <c:v>0.024282265376713356</c:v>
                </c:pt>
                <c:pt idx="94">
                  <c:v>0.0247377631841095</c:v>
                </c:pt>
                <c:pt idx="95">
                  <c:v>0.025203991426205188</c:v>
                </c:pt>
                <c:pt idx="96">
                  <c:v>0.025681254531079428</c:v>
                </c:pt>
                <c:pt idx="97">
                  <c:v>0.026169866916737547</c:v>
                </c:pt>
                <c:pt idx="98">
                  <c:v>0.02667015335283074</c:v>
                </c:pt>
                <c:pt idx="99">
                  <c:v>0.027182449335762922</c:v>
                </c:pt>
                <c:pt idx="100">
                  <c:v>0.027707101477594157</c:v>
                </c:pt>
                <c:pt idx="101">
                  <c:v>0.028244467909145102</c:v>
                </c:pt>
                <c:pt idx="102">
                  <c:v>0.028794918697701503</c:v>
                </c:pt>
                <c:pt idx="103">
                  <c:v>0.029358836279707</c:v>
                </c:pt>
                <c:pt idx="104">
                  <c:v>0.029936615908817837</c:v>
                </c:pt>
                <c:pt idx="105">
                  <c:v>0.030528666119674867</c:v>
                </c:pt>
                <c:pt idx="106">
                  <c:v>0.031135409207722016</c:v>
                </c:pt>
                <c:pt idx="107">
                  <c:v>0.03175728172537024</c:v>
                </c:pt>
                <c:pt idx="108">
                  <c:v>0.032394734994766104</c:v>
                </c:pt>
                <c:pt idx="109">
                  <c:v>0.03304823563737637</c:v>
                </c:pt>
                <c:pt idx="110">
                  <c:v>0.0337182661205425</c:v>
                </c:pt>
                <c:pt idx="111">
                  <c:v>0.034405325321088275</c:v>
                </c:pt>
                <c:pt idx="112">
                  <c:v>0.03510992910598137</c:v>
                </c:pt>
                <c:pt idx="113">
                  <c:v>0.03583261092994993</c:v>
                </c:pt>
                <c:pt idx="114">
                  <c:v>0.03657392244983841</c:v>
                </c:pt>
                <c:pt idx="115">
                  <c:v>0.0373344341553496</c:v>
                </c:pt>
                <c:pt idx="116">
                  <c:v>0.03811473601565709</c:v>
                </c:pt>
                <c:pt idx="117">
                  <c:v>0.038915438141184484</c:v>
                </c:pt>
                <c:pt idx="118">
                  <c:v>0.03973717145962567</c:v>
                </c:pt>
                <c:pt idx="119">
                  <c:v>0.04058058840502373</c:v>
                </c:pt>
                <c:pt idx="120">
                  <c:v>0.04144636361842686</c:v>
                </c:pt>
                <c:pt idx="121">
                  <c:v>0.042335194658291456</c:v>
                </c:pt>
                <c:pt idx="122">
                  <c:v>0.04324780271840039</c:v>
                </c:pt>
                <c:pt idx="123">
                  <c:v>0.04418493335059607</c:v>
                </c:pt>
                <c:pt idx="124">
                  <c:v>0.045147357189088126</c:v>
                </c:pt>
                <c:pt idx="125">
                  <c:v>0.046135870672467875</c:v>
                </c:pt>
                <c:pt idx="126">
                  <c:v>0.04715129675883976</c:v>
                </c:pt>
                <c:pt idx="127">
                  <c:v>0.04819448562864076</c:v>
                </c:pt>
                <c:pt idx="128">
                  <c:v>0.04926631536875205</c:v>
                </c:pt>
                <c:pt idx="129">
                  <c:v>0.05036769263038866</c:v>
                </c:pt>
                <c:pt idx="130">
                  <c:v>0.05149955325195855</c:v>
                </c:pt>
                <c:pt idx="131">
                  <c:v>0.05266286283659045</c:v>
                </c:pt>
                <c:pt idx="132">
                  <c:v>0.05385861727229923</c:v>
                </c:pt>
                <c:pt idx="133">
                  <c:v>0.055087843180760536</c:v>
                </c:pt>
                <c:pt idx="134">
                  <c:v>0.056351598278354606</c:v>
                </c:pt>
                <c:pt idx="135">
                  <c:v>0.05765097163046116</c:v>
                </c:pt>
                <c:pt idx="136">
                  <c:v>0.05898708377689144</c:v>
                </c:pt>
                <c:pt idx="137">
                  <c:v>0.060361086702749644</c:v>
                </c:pt>
                <c:pt idx="138">
                  <c:v>0.06177416362485367</c:v>
                </c:pt>
                <c:pt idx="139">
                  <c:v>0.0632275285590147</c:v>
                </c:pt>
                <c:pt idx="140">
                  <c:v>0.06472242562786204</c:v>
                </c:pt>
                <c:pt idx="141">
                  <c:v>0.06626012806238289</c:v>
                </c:pt>
                <c:pt idx="142">
                  <c:v>0.06784193684275729</c:v>
                </c:pt>
                <c:pt idx="143">
                  <c:v>0.0694691789152365</c:v>
                </c:pt>
                <c:pt idx="144">
                  <c:v>0.07114320491151602</c:v>
                </c:pt>
                <c:pt idx="145">
                  <c:v>0.07286538628503386</c:v>
                </c:pt>
                <c:pt idx="146">
                  <c:v>0.07463711176458852</c:v>
                </c:pt>
                <c:pt idx="147">
                  <c:v>0.0764597830092404</c:v>
                </c:pt>
                <c:pt idx="148">
                  <c:v>0.07833480932922314</c:v>
                </c:pt>
                <c:pt idx="149">
                  <c:v>0.08026360131502437</c:v>
                </c:pt>
                <c:pt idx="150">
                  <c:v>0.08224756319028487</c:v>
                </c:pt>
                <c:pt idx="151">
                  <c:v>0.08428808367299011</c:v>
                </c:pt>
                <c:pt idx="152">
                  <c:v>0.08638652509268871</c:v>
                </c:pt>
                <c:pt idx="153">
                  <c:v>0.08854421046812927</c:v>
                </c:pt>
                <c:pt idx="154">
                  <c:v>0.09076240819847602</c:v>
                </c:pt>
                <c:pt idx="155">
                  <c:v>0.09304231396060421</c:v>
                </c:pt>
                <c:pt idx="156">
                  <c:v>0.09538502933304355</c:v>
                </c:pt>
                <c:pt idx="157">
                  <c:v>0.09779153658165417</c:v>
                </c:pt>
                <c:pt idx="158">
                  <c:v>0.1002626689403706</c:v>
                </c:pt>
                <c:pt idx="159">
                  <c:v>0.10279907559898757</c:v>
                </c:pt>
                <c:pt idx="160">
                  <c:v>0.10540118046492611</c:v>
                </c:pt>
                <c:pt idx="161">
                  <c:v>0.10806913359225334</c:v>
                </c:pt>
                <c:pt idx="162">
                  <c:v>0.11080275396283223</c:v>
                </c:pt>
                <c:pt idx="163">
                  <c:v>0.1136014620539068</c:v>
                </c:pt>
                <c:pt idx="164">
                  <c:v>0.11646420032449595</c:v>
                </c:pt>
                <c:pt idx="165">
                  <c:v>0.11938933938837946</c:v>
                </c:pt>
                <c:pt idx="166">
                  <c:v>0.12237456720029406</c:v>
                </c:pt>
                <c:pt idx="167">
                  <c:v>0.12541675804699232</c:v>
                </c:pt>
                <c:pt idx="168">
                  <c:v>0.12851181748482002</c:v>
                </c:pt>
                <c:pt idx="169">
                  <c:v>0.13165449857415476</c:v>
                </c:pt>
                <c:pt idx="170">
                  <c:v>0.13483818379595883</c:v>
                </c:pt>
                <c:pt idx="171">
                  <c:v>0.13805462585681152</c:v>
                </c:pt>
                <c:pt idx="172">
                  <c:v>0.14129363914681953</c:v>
                </c:pt>
                <c:pt idx="173">
                  <c:v>0.1445427318495006</c:v>
                </c:pt>
                <c:pt idx="174">
                  <c:v>0.14778666654088013</c:v>
                </c:pt>
                <c:pt idx="175">
                  <c:v>0.15100693446884206</c:v>
                </c:pt>
                <c:pt idx="176">
                  <c:v>0.1541811254700724</c:v>
                </c:pt>
                <c:pt idx="177">
                  <c:v>0.15728217154331137</c:v>
                </c:pt>
                <c:pt idx="178">
                  <c:v>0.16027743732808458</c:v>
                </c:pt>
                <c:pt idx="179">
                  <c:v>0.16312762501707817</c:v>
                </c:pt>
                <c:pt idx="180">
                  <c:v>0.16578545447370743</c:v>
                </c:pt>
                <c:pt idx="181">
                  <c:v>0.16819407154901406</c:v>
                </c:pt>
                <c:pt idx="182">
                  <c:v>0.1702851290300137</c:v>
                </c:pt>
                <c:pt idx="183">
                  <c:v>0.17197647599836957</c:v>
                </c:pt>
                <c:pt idx="184">
                  <c:v>0.1731693842349635</c:v>
                </c:pt>
                <c:pt idx="185">
                  <c:v>0.17374523804455017</c:v>
                </c:pt>
                <c:pt idx="186">
                  <c:v>0.17356162330153152</c:v>
                </c:pt>
                <c:pt idx="187">
                  <c:v>0.1724477861167247</c:v>
                </c:pt>
                <c:pt idx="188">
                  <c:v>0.17019951787683826</c:v>
                </c:pt>
                <c:pt idx="189">
                  <c:v>0.16657371414007502</c:v>
                </c:pt>
                <c:pt idx="190">
                  <c:v>0.16128325535708193</c:v>
                </c:pt>
                <c:pt idx="191">
                  <c:v>0.1539936822115652</c:v>
                </c:pt>
                <c:pt idx="192">
                  <c:v>0.14432483408386057</c:v>
                </c:pt>
                <c:pt idx="193">
                  <c:v>0.13186413889807205</c:v>
                </c:pt>
                <c:pt idx="194">
                  <c:v>0.11620567742003679</c:v>
                </c:pt>
                <c:pt idx="195">
                  <c:v>0.09704519666157808</c:v>
                </c:pt>
                <c:pt idx="196">
                  <c:v>0.07439657260615637</c:v>
                </c:pt>
                <c:pt idx="197">
                  <c:v>0.049072510340759226</c:v>
                </c:pt>
                <c:pt idx="198">
                  <c:v>0.023719563743863355</c:v>
                </c:pt>
                <c:pt idx="199">
                  <c:v>0.004677376971007374</c:v>
                </c:pt>
                <c:pt idx="20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Mittelwert</c:v>
          </c:tx>
          <c:spPr>
            <a:solidFill xmlns:a="http://schemas.openxmlformats.org/drawingml/2006/main">
              <a:srgbClr val="77C5D8"/>
            </a:solidFill>
            <a:ln xmlns:a="http://schemas.openxmlformats.org/drawingml/2006/main" w="28575">
              <a:solidFill>
                <a:srgbClr val="77C5D8"/>
              </a:solidFill>
              <a:prstDash val="solid"/>
            </a:ln>
          </c:spPr>
          <c:marker>
            <c:symbol val="none"/>
          </c:marker>
          <c:xVal>
            <c:numRef>
              <c:f>'Grafik'!$A$232:$A$233</c:f>
              <c:numCache>
                <c:formatCode>0.000</c:formatCode>
                <c:ptCount val="2"/>
                <c:pt idx="0">
                  <c:v>8.730011652807294</c:v>
                </c:pt>
                <c:pt idx="1">
                  <c:v>8.730011652807294</c:v>
                </c:pt>
              </c:numCache>
            </c:numRef>
          </c:xVal>
          <c:yVal>
            <c:numRef>
              <c:f>'Grafik'!$C$232:$C$233</c:f>
              <c:numCache>
                <c:formatCode>0.0%</c:formatCode>
                <c:ptCount val="2"/>
                <c:pt idx="0">
                  <c:v>0</c:v>
                </c:pt>
                <c:pt idx="1">
                  <c:v>0.08066131843909291</c:v>
                </c:pt>
              </c:numCache>
            </c:numRef>
          </c:yVal>
          <c:smooth val="0"/>
        </c:ser>
        <c:ser>
          <c:idx val="2"/>
          <c:order val="2"/>
          <c:tx>
            <c:v>Median</c:v>
          </c:tx>
          <c:spPr>
            <a:solidFill xmlns:a="http://schemas.openxmlformats.org/drawingml/2006/main">
              <a:srgbClr val="EC5A7A"/>
            </a:solidFill>
            <a:ln xmlns:a="http://schemas.openxmlformats.org/drawingml/2006/main" w="28575">
              <a:solidFill>
                <a:srgbClr val="EC5A7A"/>
              </a:solidFill>
              <a:prstDash val="solid"/>
            </a:ln>
          </c:spPr>
          <c:marker>
            <c:symbol val="none"/>
          </c:marker>
          <c:xVal>
            <c:numRef>
              <c:f>'Grafik'!$A$234:$A$235</c:f>
              <c:numCache>
                <c:formatCode>0.000</c:formatCode>
                <c:ptCount val="2"/>
                <c:pt idx="0">
                  <c:v>9.065090261077478</c:v>
                </c:pt>
                <c:pt idx="1">
                  <c:v>9.065090261077478</c:v>
                </c:pt>
              </c:numCache>
            </c:numRef>
          </c:xVal>
          <c:yVal>
            <c:numRef>
              <c:f>'Grafik'!$D$234:$D$235</c:f>
              <c:numCache>
                <c:formatCode>0.0%</c:formatCode>
                <c:ptCount val="2"/>
                <c:pt idx="0">
                  <c:v>0</c:v>
                </c:pt>
                <c:pt idx="1">
                  <c:v>0.1124920833937908</c:v>
                </c:pt>
              </c:numCache>
            </c:numRef>
          </c:yVal>
          <c:smooth val="0"/>
        </c:ser>
        <c:axId val="48650112"/>
        <c:axId val="48672768"/>
      </c:scatterChart>
      <c:valAx>
        <c:axId val="48672768"/>
        <c:scaling>
          <c:orientation val="minMax"/>
          <c:max val="0.1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Dichte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majorUnit val="0.02"/>
      </c:valAx>
      <c:valAx>
        <c:axId val="48650112"/>
        <c:scaling>
          <c:orientation val="minMax"/>
          <c:max val="10"/>
          <c:min val="5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Schwangerschaftsdauer (Monate)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1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b34de56f0745d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41b87ae3134d9f" /></Relationships>
</file>

<file path=xl/worksheets/sheet1.xml><?xml version="1.0" encoding="utf-8"?>
<x:worksheet xmlns:x="http://schemas.openxmlformats.org/spreadsheetml/2006/main">
  <x:sheetFormatPr defaultRowHeight="15"/>
  <x:sheetData>
    <x:row r="27">
      <x:c r="A27" t="str">
        <x:v>Schematische Verteilung; Dichte je ¼ Monat</x:v>
      </x:c>
      <x:c r="J27" t="str">
        <x:v>Gesamtfläche</x:v>
      </x:c>
      <x:c r="K27" s="2" t="n">
        <x:f>SUM(F31:F231)</x:f>
        <x:v>2.371889943710748</x:v>
      </x:c>
    </x:row>
    <x:row r="28">
      <x:c r="J28" s="4" t="str">
        <x:v>Mittelwert</x:v>
      </x:c>
      <x:c r="K28" s="2" t="n">
        <x:f>SUM(G31:G231)/K27</x:f>
        <x:v>8.730011652807294</x:v>
      </x:c>
    </x:row>
    <x:row r="29">
      <x:c r="J29" s="5" t="str">
        <x:v>Median</x:v>
      </x:c>
      <x:c r="K29" s="2" t="n">
        <x:f>INDEX(A31:A231,K30)+(0.5-INDEX(H31:H231,K30))*(INDEX(A31:A231,K30+1)-INDEX(A31:A231,K30))/(INDEX(H31:H231,K30+1)-INDEX(H31:H231,K30))</x:f>
        <x:v>9.065090261077478</x:v>
      </x:c>
    </x:row>
    <x:row r="30">
      <x:c r="A30" s="1" t="str">
        <x:v>Monate</x:v>
      </x:c>
      <x:c r="B30" s="1" t="str">
        <x:v>Dichte</x:v>
      </x:c>
      <x:c r="C30" s="1" t="str">
        <x:v>Mittelwert</x:v>
      </x:c>
      <x:c r="D30" s="1" t="str">
        <x:v>Median</x:v>
      </x:c>
      <x:c r="E30" s="1" t="str">
        <x:v>Rohdichte</x:v>
      </x:c>
      <x:c r="F30" s="1" t="str">
        <x:v>Flächenstück</x:v>
      </x:c>
      <x:c r="G30" s="1" t="str">
        <x:v>Momentstück</x:v>
      </x:c>
      <x:c r="H30" s="1" t="str">
        <x:v>Kumulierte Fläche</x:v>
      </x:c>
      <x:c r="J30" t="str">
        <x:v>Median-Index</x:v>
      </x:c>
      <x:c r="K30" t="n">
        <x:f>MATCH(0.5,H31:H231,1)</x:f>
        <x:v>163</x:v>
      </x:c>
    </x:row>
    <x:row r="31">
      <x:c r="A31" s="2" t="n">
        <x:v>5</x:v>
      </x:c>
      <x:c r="B31" s="3" t="n">
        <x:f>E31/$K$27*0.25</x:f>
        <x:v>0.005772993363354435</x:v>
      </x:c>
      <x:c r="C31" s="3"/>
      <x:c r="D31" s="3"/>
      <x:c r="E31" t="n">
        <x:f>IF(A31&lt;10,EXP(-((LN(10-A31)-$K$33)^2)/(2*$K$34^2))/(10-A31),0)</x:f>
        <x:v>0.05477161961459709</x:v>
      </x:c>
      <x:c r="F31" t="n">
        <x:v>0</x:v>
      </x:c>
      <x:c r="G31" t="n">
        <x:v>0</x:v>
      </x:c>
      <x:c r="H31" t="n">
        <x:v>0</x:v>
      </x:c>
      <x:c r="J31" t="str">
        <x:v>Mittelwert-Index</x:v>
      </x:c>
      <x:c r="K31" t="n">
        <x:f>MATCH(K28,A31:A231,1)</x:f>
        <x:v>150</x:v>
      </x:c>
    </x:row>
    <x:row r="32">
      <x:c r="A32" s="2" t="n">
        <x:v>5.025</x:v>
      </x:c>
      <x:c r="B32" s="3" t="n">
        <x:f>E32/$K$27*0.25</x:f>
        <x:v>0.0058489261504112555</x:v>
      </x:c>
      <x:c r="C32" s="3"/>
      <x:c r="D32" s="3"/>
      <x:c r="E32" t="n">
        <x:f>IF(A32&lt;10,EXP(-((LN(10-A32)-$K$33)^2)/(2*$K$34^2))/(10-A32),0)</x:f>
        <x:v>0.0554920364706691</x:v>
      </x:c>
      <x:c r="F32" t="n">
        <x:f>(E31+E32)*(A32-A31)/2</x:f>
        <x:v>0.0013782957010658472</x:v>
      </x:c>
      <x:c r="G32" t="n">
        <x:f>(A31*E31+A32*E32)*(A32-A31)/2</x:f>
        <x:v>0.006908819766726319</x:v>
      </x:c>
      <x:c r="H32" t="n">
        <x:f>H31+F32/$K$27</x:f>
        <x:v>0.0005810959756882929</x:v>
      </x:c>
      <x:c r="J32" t="str">
        <x:v>Median-Plot-Index</x:v>
      </x:c>
      <x:c r="K32" t="n">
        <x:f>MATCH(K29,A31:A231,1)</x:f>
        <x:v>163</x:v>
      </x:c>
    </x:row>
    <x:row r="33">
      <x:c r="A33" s="2" t="n">
        <x:v>5.05</x:v>
      </x:c>
      <x:c r="B33" s="3" t="n">
        <x:f>E33/$K$27*0.25</x:f>
        <x:v>0.005926097780454847</x:v>
      </x:c>
      <x:c r="C33" s="3"/>
      <x:c r="D33" s="3"/>
      <x:c r="E33" t="n">
        <x:f>IF(A33&lt;10,EXP(-((LN(10-A33)-$K$33)^2)/(2*$K$34^2))/(10-A33),0)</x:f>
        <x:v>0.05622420692362975</x:v>
      </x:c>
      <x:c r="F33" t="n">
        <x:f>(E32+E33)*(A33-A32)/2</x:f>
        <x:v>0.001396453042428706</x:v>
      </x:c>
      <x:c r="G33" t="n">
        <x:f>(A32*E32+A33*E33)*(A33-A32)/2</x:f>
        <x:v>0.00703474660286788</x:v>
      </x:c>
      <x:c r="H33" t="n">
        <x:f>H32+F33/$K$27</x:f>
        <x:v>0.0011698471722315854</x:v>
      </x:c>
      <x:c r="J33" t="str">
        <x:v>μ</x:v>
      </x:c>
      <x:c r="K33" t="n">
        <x:v>0</x:v>
      </x:c>
    </x:row>
    <x:row r="34">
      <x:c r="A34" s="2" t="n">
        <x:v>5.075</x:v>
      </x:c>
      <x:c r="B34" s="3" t="n">
        <x:f>E34/$K$27*0.25</x:f>
        <x:v>0.006004532585495875</x:v>
      </x:c>
      <x:c r="C34" s="3"/>
      <x:c r="D34" s="3"/>
      <x:c r="E34" t="n">
        <x:f>IF(A34&lt;10,EXP(-((LN(10-A34)-$K$33)^2)/(2*$K$34^2))/(10-A34),0)</x:f>
        <x:v>0.056968361824884656</x:v>
      </x:c>
      <x:c r="F34" t="n">
        <x:f>(E33+E34)*(A34-A33)/2</x:f>
        <x:v>0.0014149071093564503</x:v>
      </x:c>
      <x:c r="G34" t="n">
        <x:f>(A33*E33+A34*E34)*(A34-A33)/2</x:f>
        <x:v>0.00716308351532035</x:v>
      </x:c>
      <x:c r="H34" t="n">
        <x:f>H33+F34/$K$27</x:f>
        <x:v>0.00176637869052913</x:v>
      </x:c>
      <x:c r="J34" t="str">
        <x:v>σ</x:v>
      </x:c>
      <x:c r="K34" t="n">
        <x:v>1</x:v>
      </x:c>
    </x:row>
    <x:row r="35">
      <x:c r="A35" s="2" t="n">
        <x:v>5.1</x:v>
      </x:c>
      <x:c r="B35" s="3" t="n">
        <x:f>E35/$K$27*0.25</x:f>
        <x:v>0.006084255459119567</x:v>
      </x:c>
      <x:c r="C35" s="3"/>
      <x:c r="D35" s="3"/>
      <x:c r="E35" t="n">
        <x:f>IF(A35&lt;10,EXP(-((LN(10-A35)-$K$33)^2)/(2*$K$34^2))/(10-A35),0)</x:f>
        <x:v>0.05772473735381169</x:v>
      </x:c>
      <x:c r="F35" t="n">
        <x:f>(E34+E35)*(A35-A34)/2</x:f>
        <x:v>0.0014336637397336738</x:v>
      </x:c>
      <x:c r="G35" t="n">
        <x:f>(A34*E34+A35*E35)*(A35-A34)/2</x:f>
        <x:v>0.0072938824595714605</x:v>
      </x:c>
      <x:c r="H35" t="n">
        <x:f>H34+F35/$K$27</x:f>
        <x:v>0.0023708180927598894</x:v>
      </x:c>
    </x:row>
    <x:row r="36">
      <x:c r="A36" s="2" t="n">
        <x:v>5.125</x:v>
      </x:c>
      <x:c r="B36" s="3" t="n">
        <x:f>E36/$K$27*0.25</x:f>
        <x:v>0.006165291871413852</x:v>
      </x:c>
      <x:c r="C36" s="3"/>
      <x:c r="D36" s="3"/>
      <x:c r="E36" t="n">
        <x:f>IF(A36&lt;10,EXP(-((LN(10-A36)-$K$33)^2)/(2*$K$34^2))/(10-A36),0)</x:f>
        <x:v>0.05849357515939254</x:v>
      </x:c>
      <x:c r="F36" t="n">
        <x:f>(E35+E36)*(A36-A35)/2</x:f>
        <x:v>0.0014527289064150736</x:v>
      </x:c>
      <x:c r="G36" t="n">
        <x:f>(A35*E35+A36*E36)*(A36-A35)/2</x:f>
        <x:v>0.007427196664954186</x:v>
      </x:c>
      <x:c r="H36" t="n">
        <x:f>H35+F36/$K$27</x:f>
        <x:v>0.0029832954592865692</x:v>
      </x:c>
    </x:row>
    <x:row r="37">
      <x:c r="A37" s="2" t="n">
        <x:v>5.15</x:v>
      </x:c>
      <x:c r="B37" s="3" t="n">
        <x:f>E37/$K$27*0.25</x:f>
        <x:v>0.00624766788434682</x:v>
      </x:c>
      <x:c r="C37" s="3"/>
      <x:c r="D37" s="3"/>
      <x:c r="E37" t="n">
        <x:f>IF(A37&lt;10,EXP(-((LN(10-A37)-$K$33)^2)/(2*$K$34^2))/(10-A37),0)</x:f>
        <x:v>0.05927512250610731</x:v>
      </x:c>
      <x:c r="F37" t="n">
        <x:f>(E36+E37)*(A37-A36)/2</x:f>
        <x:v>0.001472108720818769</x:v>
      </x:c>
      <x:c r="G37" t="n">
        <x:f>(A36*E36+A37*E37)*(A37-A36)/2</x:f>
        <x:v>0.0075630806699793504</x:v>
      </x:c>
      <x:c r="H37" t="n">
        <x:f>H36+F37/$K$27</x:f>
        <x:v>0.003603943447074612</x:v>
      </x:c>
    </x:row>
    <x:row r="38">
      <x:c r="A38" s="2" t="n">
        <x:v>5.175</x:v>
      </x:c>
      <x:c r="B38" s="3" t="n">
        <x:f>E38/$K$27*0.25</x:f>
        <x:v>0.006331410167608557</x:v>
      </x:c>
      <x:c r="C38" s="3"/>
      <x:c r="D38" s="3"/>
      <x:c r="E38" t="n">
        <x:f>IF(A38&lt;10,EXP(-((LN(10-A38)-$K$33)^2)/(2*$K$34^2))/(10-A38),0)</x:f>
        <x:v>0.060069632424234874</x:v>
      </x:c>
      <x:c r="F38" t="n">
        <x:f>(E37+E38)*(A38-A37)/2</x:f>
        <x:v>0.0014918094366292455</x:v>
      </x:c>
      <x:c r="G38" t="n">
        <x:f>(A37*E37+A38*E38)*(A38-A37)/2</x:f>
        <x:v>0.007701590358773187</x:v>
      </x:c>
      <x:c r="H38" t="n">
        <x:f>H37+F38/$K$27</x:f>
        <x:v>0.004232897349672367</x:v>
      </x:c>
    </x:row>
    <x:row r="39">
      <x:c r="A39" s="2" t="n">
        <x:v>5.2</x:v>
      </x:c>
      <x:c r="B39" s="3" t="n">
        <x:f>E39/$K$27*0.25</x:f>
        <x:v>0.006416546014933079</x:v>
      </x:c>
      <x:c r="C39" s="3"/>
      <x:c r="D39" s="3"/>
      <x:c r="E39" t="n">
        <x:f>IF(A39&lt;10,EXP(-((LN(10-A39)-$K$33)^2)/(2*$K$34^2))/(10-A39),0)</x:f>
        <x:v>0.060877363864708184</x:v>
      </x:c>
      <x:c r="F39" t="n">
        <x:f>(E38+E39)*(A39-A38)/2</x:f>
        <x:v>0.0015118374536118098</x:v>
      </x:c>
      <x:c r="G39" t="n">
        <x:f>(A38*E38+A39*E39)*(A39-A38)/2</x:f>
        <x:v>0.007842782998648837</x:v>
      </x:c>
      <x:c r="H39" t="n">
        <x:f>H38+F39/$K$27</x:f>
        <x:v>0.004870295158799458</x:v>
      </x:c>
    </x:row>
    <x:row r="40">
      <x:c r="A40" s="2" t="n">
        <x:v>5.225</x:v>
      </x:c>
      <x:c r="B40" s="3" t="n">
        <x:f>E40/$K$27*0.25</x:f>
        <x:v>0.006503103360916452</x:v>
      </x:c>
      <x:c r="C40" s="3"/>
      <x:c r="D40" s="3"/>
      <x:c r="E40" t="n">
        <x:f>IF(A40&lt;10,EXP(-((LN(10-A40)-$K$33)^2)/(2*$K$34^2))/(10-A40),0)</x:f>
        <x:v>0.0616985818586772</x:v>
      </x:c>
      <x:c r="F40" t="n">
        <x:f>(E39+E40)*(A40-A39)/2</x:f>
        <x:v>0.0015321993215422847</x:v>
      </x:c>
      <x:c r="G40" t="n">
        <x:f>(A39*E39+A40*E40)*(A40-A39)/2</x:f>
        <x:v>0.007986717278850716</x:v>
      </x:c>
      <x:c r="H40" t="n">
        <x:f>H39+F40/$K$27</x:f>
        <x:v>0.005516277627591921</x:v>
      </x:c>
    </x:row>
    <x:row r="41">
      <x:c r="A41" s="2" t="n">
        <x:v>5.25</x:v>
      </x:c>
      <x:c r="B41" s="3" t="n">
        <x:f>E41/$K$27*0.25</x:f>
        <x:v>0.006591110798348078</x:v>
      </x:c>
      <x:c r="C41" s="3"/>
      <x:c r="D41" s="3"/>
      <x:c r="E41" t="n">
        <x:f>IF(A41&lt;10,EXP(-((LN(10-A41)-$K$33)^2)/(2*$K$34^2))/(10-A41),0)</x:f>
        <x:v>0.06253355768194051</x:v>
      </x:c>
      <x:c r="F41" t="n">
        <x:f>(E40+E41)*(A41-A40)/2</x:f>
        <x:v>0.0015529017442577435</x:v>
      </x:c>
      <x:c r="G41" t="n">
        <x:f>(A40*E40+A41*E41)*(A41-A40)/2</x:f>
        <x:v>0.008133453350522315</x:v>
      </x:c>
      <x:c r="H41" t="n">
        <x:f>H40+F41/$K$27</x:f>
        <x:v>0.006170988335555157</x:v>
      </x:c>
    </x:row>
    <x:row r="42">
      <x:c r="A42" s="2" t="n">
        <x:v>5.275</x:v>
      </x:c>
      <x:c r="B42" s="3" t="n">
        <x:f>E42/$K$27*0.25</x:f>
        <x:v>0.006680597596072436</x:v>
      </x:c>
      <x:c r="C42" s="3"/>
      <x:c r="D42" s="3"/>
      <x:c r="E42" t="n">
        <x:f>IF(A42&lt;10,EXP(-((LN(10-A42)-$K$33)^2)/(2*$K$34^2))/(10-A42),0)</x:f>
        <x:v>0.06338256902440964</x:v>
      </x:c>
      <x:c r="F42" t="n">
        <x:f>(E41+E42)*(A42-A41)/2</x:f>
        <x:v>0.0015739515838293994</x:v>
      </x:c>
      <x:c r="G42" t="n">
        <x:f>(A41*E41+A42*E42)*(A42-A41)/2</x:f>
        <x:v>0.008283052867924474</x:v>
      </x:c>
      <x:c r="H42" t="n">
        <x:f>H41+F42/$K$27</x:f>
        <x:v>0.006834573755276192</x:v>
      </x:c>
    </x:row>
    <x:row r="43">
      <x:c r="A43" s="2" t="n">
        <x:v>5.3</x:v>
      </x:c>
      <x:c r="B43" s="3" t="n">
        <x:f>E43/$K$27*0.25</x:f>
        <x:v>0.006771593717399499</x:v>
      </x:c>
      <x:c r="C43" s="3"/>
      <x:c r="D43" s="3"/>
      <x:c r="E43" t="n">
        <x:f>IF(A43&lt;10,EXP(-((LN(10-A43)-$K$33)^2)/(2*$K$34^2))/(10-A43),0)</x:f>
        <x:v>0.06424590016477902</x:v>
      </x:c>
      <x:c r="F43" t="n">
        <x:f>(E42+E43)*(A43-A42)/2</x:f>
        <x:v>0.0015953558648648242</x:v>
      </x:c>
      <x:c r="G43" t="n">
        <x:f>(A42*E42+A43*E43)*(A43-A42)/2</x:f>
        <x:v>0.00843557903096344</x:v>
      </x:c>
      <x:c r="H43" t="n">
        <x:f>H42+F43/$K$27</x:f>
        <x:v>0.007507183320949774</x:v>
      </x:c>
    </x:row>
    <x:row r="44">
      <x:c r="A44" s="2" t="n">
        <x:v>5.325</x:v>
      </x:c>
      <x:c r="B44" s="3" t="n">
        <x:f>E44/$K$27*0.25</x:f>
        <x:v>0.006864129839082565</x:v>
      </x:c>
      <x:c r="C44" s="3"/>
      <x:c r="D44" s="3"/>
      <x:c r="E44" t="n">
        <x:f>IF(A44&lt;10,EXP(-((LN(10-A44)-$K$33)^2)/(2*$K$34^2))/(10-A44),0)</x:f>
        <x:v>0.06512384215057924</x:v>
      </x:c>
      <x:c r="F44" t="n">
        <x:f>(E43+E44)*(A44-A43)/2</x:f>
        <x:v>0.0016171217789420012</x:v>
      </x:c>
      <x:c r="G44" t="n">
        <x:f>(A43*E43+A44*E44)*(A44-A43)/2</x:f>
        <x:v>0.008591096629064663</x:v>
      </x:c>
      <x:c r="H44" t="n">
        <x:f>H43+F44/$K$27</x:f>
        <x:v>0.008188969498773888</x:v>
      </x:c>
    </x:row>
    <x:row r="45">
      <x:c r="A45" s="2" t="n">
        <x:v>5.35</x:v>
      </x:c>
      <x:c r="B45" s="3" t="n">
        <x:f>E45/$K$27*0.25</x:f>
        <x:v>0.006958237370882923</x:v>
      </x:c>
      <x:c r="C45" s="3"/>
      <x:c r="D45" s="3"/>
      <x:c r="E45" t="n">
        <x:f>IF(A45&lt;10,EXP(-((LN(10-A45)-$K$33)^2)/(2*$K$34^2))/(10-A45),0)</x:f>
        <x:v>0.06601669298379809</x:v>
      </x:c>
      <x:c r="F45" t="n">
        <x:f>(E44+E45)*(A45-A44)/2</x:f>
        <x:v>0.0016392566891796818</x:v>
      </x:c>
      <x:c r="G45" t="n">
        <x:f>(A44*E44+A45*E45)*(A45-A44)/2</x:f>
        <x:v>0.008749672086439241</x:v>
      </x:c>
      <x:c r="H45" t="n">
        <x:f>H44+F45/$K$27</x:f>
        <x:v>0.008880087859272147</x:v>
      </x:c>
    </x:row>
    <x:row r="46">
      <x:c r="A46" s="2" t="n">
        <x:v>5.375</x:v>
      </x:c>
      <x:c r="B46" s="3" t="n">
        <x:f>E46/$K$27*0.25</x:f>
        <x:v>0.007053948475741699</x:v>
      </x:c>
      <x:c r="C46" s="3"/>
      <x:c r="D46" s="3"/>
      <x:c r="E46" t="n">
        <x:f>IF(A46&lt;10,EXP(-((LN(10-A46)-$K$33)^2)/(2*$K$34^2))/(10-A46),0)</x:f>
        <x:v>0.06692475781226198</x:v>
      </x:c>
      <x:c r="F46" t="n">
        <x:f>(E45+E46)*(A46-A45)/2</x:f>
        <x:v>0.0016617681349507744</x:v>
      </x:c>
      <x:c r="G46" t="n">
        <x:f>(A45*E45+A46*E46)*(A46-A45)/2</x:f>
        <x:v>0.008911373508802976</x:v>
      </x:c>
      <x:c r="H46" t="n">
        <x:f>H45+F46/$K$27</x:f>
        <x:v>0.009580697151603387</x:v>
      </x:c>
    </x:row>
    <x:row r="47">
      <x:c r="A47" s="2" t="n">
        <x:v>5.4</x:v>
      </x:c>
      <x:c r="B47" s="3" t="n">
        <x:f>E47/$K$27*0.25</x:f>
        <x:v>0.00715129609057973</x:v>
      </x:c>
      <x:c r="C47" s="3"/>
      <x:c r="D47" s="3"/>
      <x:c r="E47" t="n">
        <x:f>IF(A47&lt;10,EXP(-((LN(10-A47)-$K$33)^2)/(2*$K$34^2))/(10-A47),0)</x:f>
        <x:v>0.0678483491269762</x:v>
      </x:c>
      <x:c r="F47" t="n">
        <x:f>(E46+E47)*(A47-A46)/2</x:f>
        <x:v>0.001684663836740501</x:v>
      </x:c>
      <x:c r="G47" t="n">
        <x:f>(A46*E46+A47*E47)*(A47-A46)/2</x:f>
        <x:v>0.009076270731582374</x:v>
      </x:c>
      <x:c r="H47" t="n">
        <x:f>H46+F47/$K$27</x:f>
        <x:v>0.010290959379919468</x:v>
      </x:c>
    </x:row>
    <x:row r="48">
      <x:c r="A48" s="2" t="n">
        <x:v>5.425</x:v>
      </x:c>
      <x:c r="B48" s="3" t="n">
        <x:f>E48/$K$27*0.25</x:f>
        <x:v>0.00725031394774734</x:v>
      </x:c>
      <x:c r="C48" s="3"/>
      <x:c r="D48" s="3"/>
      <x:c r="E48" t="n">
        <x:f>IF(A48&lt;10,EXP(-((LN(10-A48)-$K$33)^2)/(2*$K$34^2))/(10-A48),0)</x:f>
        <x:v>0.06878778696563076</x:v>
      </x:c>
      <x:c r="F48" t="n">
        <x:f>(E47+E48)*(A48-A47)/2</x:f>
        <x:v>0.0017079517011575503</x:v>
      </x:c>
      <x:c r="G48" t="n">
        <x:f>(A47*E47+A48*E48)*(A48-A47)/2</x:f>
        <x:v>0.009244435369677532</x:v>
      </x:c>
      <x:c r="H48" t="n">
        <x:f>H47+F48/$K$27</x:f>
        <x:v>0.011011039881835806</x:v>
      </x:c>
    </x:row>
    <x:row r="49">
      <x:c r="A49" s="2" t="n">
        <x:v>5.45</x:v>
      </x:c>
      <x:c r="B49" s="3" t="n">
        <x:f>E49/$K$27*0.25</x:f>
        <x:v>0.007351036597146586</x:v>
      </x:c>
      <x:c r="C49" s="3"/>
      <x:c r="D49" s="3"/>
      <x:c r="E49" t="n">
        <x:f>IF(A49&lt;10,EXP(-((LN(10-A49)-$K$33)^2)/(2*$K$34^2))/(10-A49),0)</x:f>
        <x:v>0.06974339912248666</x:v>
      </x:c>
      <x:c r="F49" t="n">
        <x:f>(E48+E49)*(A49-A48)/2</x:f>
        <x:v>0.0017316398261014924</x:v>
      </x:c>
      <x:c r="G49" t="n">
        <x:f>(A48*E48+A49*E49)*(A49-A48)/2</x:f>
        <x:v>0.009415940868826373</x:v>
      </x:c>
      <x:c r="H49" t="n">
        <x:f>H48+F49/$K$27</x:f>
        <x:v>0.011741107409080513</x:v>
      </x:c>
    </x:row>
    <x:row r="50">
      <x:c r="A50" s="2" t="n">
        <x:v>5.475</x:v>
      </x:c>
      <x:c r="B50" s="3" t="n">
        <x:f>E50/$K$27*0.25</x:f>
        <x:v>0.007453499429049398</x:v>
      </x:c>
      <x:c r="C50" s="3"/>
      <x:c r="D50" s="3"/>
      <x:c r="E50" t="n">
        <x:f>IF(A50&lt;10,EXP(-((LN(10-A50)-$K$33)^2)/(2*$K$34^2))/(10-A50),0)</x:f>
        <x:v>0.07071552136486428</x:v>
      </x:c>
      <x:c r="F50" t="n">
        <x:f>(E49+E50)*(A50-A49)/2</x:f>
        <x:v>0.0017557365060918491</x:v>
      </x:c>
      <x:c r="G50" t="n">
        <x:f>(A49*E49+A50*E50)*(A50-A49)/2</x:f>
        <x:v>0.009590862558627098</x:v>
      </x:c>
      <x:c r="H50" t="n">
        <x:f>H49+F50/$K$27</x:f>
        <x:v>0.012481334210390296</x:v>
      </x:c>
    </x:row>
    <x:row r="51">
      <x:c r="A51" s="2" t="n">
        <x:v>5.5</x:v>
      </x:c>
      <x:c r="B51" s="3" t="n">
        <x:f>E51/$K$27*0.25</x:f>
        <x:v>0.0075577386976360995</x:v>
      </x:c>
      <x:c r="C51" s="3"/>
      <x:c r="D51" s="3"/>
      <x:c r="E51" t="n">
        <x:f>IF(A51&lt;10,EXP(-((LN(10-A51)-$K$33)^2)/(2*$K$34^2))/(10-A51),0)</x:f>
        <x:v>0.07170449765646653</x:v>
      </x:c>
      <x:c r="F51" t="n">
        <x:f>(E50+E51)*(A51-A50)/2</x:f>
        <x:v>0.0017802502377666605</x:v>
      </x:c>
      <x:c r="G51" t="n">
        <x:f>(A50*E50+A51*E51)*(A51-A50)/2</x:f>
        <x:v>0.009769277707290112</x:v>
      </x:c>
      <x:c r="H51" t="n">
        <x:f>H50+F51/$K$27</x:f>
        <x:v>0.013231896116724581</x:v>
      </x:c>
    </x:row>
    <x:row r="52">
      <x:c r="A52" s="2" t="n">
        <x:v>5.525</x:v>
      </x:c>
      <x:c r="B52" s="3" t="n">
        <x:f>E52/$K$27*0.25</x:f>
        <x:v>0.00766379154527943</x:v>
      </x:c>
      <x:c r="C52" s="3"/>
      <x:c r="D52" s="3"/>
      <x:c r="E52" t="n">
        <x:f>IF(A52&lt;10,EXP(-((LN(10-A52)-$K$33)^2)/(2*$K$34^2))/(10-A52),0)</x:f>
        <x:v>0.07271068038777494</x:v>
      </x:c>
      <x:c r="F52" t="n">
        <x:f>(E51+E52)*(A52-A51)/2</x:f>
        <x:v>0.001805189725553044</x:v>
      </x:c>
      <x:c r="G52" t="n">
        <x:f>(A51*E51+A52*E52)*(A52-A51)/2</x:f>
        <x:v>0.009951265578162923</x:v>
      </x:c>
      <x:c r="H52" t="n">
        <x:f>H51+F52/$K$27</x:f>
        <x:v>0.013992972628870368</x:v>
      </x:c>
    </x:row>
    <x:row r="53">
      <x:c r="A53" s="2" t="n">
        <x:v>5.55</x:v>
      </x:c>
      <x:c r="B53" s="3" t="n">
        <x:f>E53/$K$27*0.25</x:f>
        <x:v>0.007771696027600503</x:v>
      </x:c>
      <x:c r="C53" s="3"/>
      <x:c r="D53" s="3"/>
      <x:c r="E53" t="n">
        <x:f>IF(A53&lt;10,EXP(-((LN(10-A53)-$K$33)^2)/(2*$K$34^2))/(10-A53),0)</x:f>
        <x:v>0.07373443061376961</x:v>
      </x:c>
      <x:c r="F53" t="n">
        <x:f>(E52+E53)*(A53-A52)/2</x:f>
        <x:v>0.001830563887519268</x:v>
      </x:c>
      <x:c r="G53" t="n">
        <x:f>(A52*E52+A53*E53)*(A53-A52)/2</x:f>
        <x:v>0.010136907488110757</x:v>
      </x:c>
      <x:c r="H53" t="n">
        <x:f>H52+F53/$K$27</x:f>
        <x:v>0.014764747007514348</x:v>
      </x:c>
    </x:row>
    <x:row r="54">
      <x:c r="A54" s="2" t="n">
        <x:v>5.575</x:v>
      </x:c>
      <x:c r="B54" s="3" t="n">
        <x:f>E54/$K$27*0.25</x:f>
        <x:v>0.007881491139323906</x:v>
      </x:c>
      <x:c r="C54" s="3"/>
      <x:c r="D54" s="3"/>
      <x:c r="E54" t="n">
        <x:f>IF(A54&lt;10,EXP(-((LN(10-A54)-$K$33)^2)/(2*$K$34^2))/(10-A54),0)</x:f>
        <x:v>0.07477611829923096</x:v>
      </x:c>
      <x:c r="F54" t="n">
        <x:f>(E53+E54)*(A54-A53)/2</x:f>
        <x:v>0.0018563818614125336</x:v>
      </x:c>
      <x:c r="G54" t="n">
        <x:f>(A53*E53+A54*E54)*(A54-A53)/2</x:f>
        <x:v>0.01032628686780807</x:v>
      </x:c>
      <x:c r="H54" t="n">
        <x:f>H53+F54/$K$27</x:f>
        <x:v>0.01554740636586058</x:v>
      </x:c>
    </x:row>
    <x:row r="55">
      <x:c r="A55" s="2" t="n">
        <x:v>5.6</x:v>
      </x:c>
      <x:c r="B55" s="3" t="n">
        <x:f>E55/$K$27*0.25</x:f>
        <x:v>0.007993216840960262</x:v>
      </x:c>
      <x:c r="C55" s="3"/>
      <x:c r="D55" s="3"/>
      <x:c r="E55" t="n">
        <x:f>IF(A55&lt;10,EXP(-((LN(10-A55)-$K$33)^2)/(2*$K$34^2))/(10-A55),0)</x:f>
        <x:v>0.07583612257189216</x:v>
      </x:c>
      <x:c r="F55" t="n">
        <x:f>(E54+E55)*(A55-A54)/2</x:f>
        <x:v>0.0018826530108889989</x:v>
      </x:c>
      <x:c r="G55" t="n">
        <x:f>(A54*E54+A55*E55)*(A55-A54)/2</x:f>
        <x:v>0.010519489324009885</x:v>
      </x:c>
      <x:c r="H55" t="n">
        <x:f>H54+F55/$K$27</x:f>
        <x:v>0.01634114176487477</x:v>
      </x:c>
    </x:row>
    <x:row r="56">
      <x:c r="A56" s="2" t="n">
        <x:v>5.625</x:v>
      </x:c>
      <x:c r="B56" s="3" t="n">
        <x:f>E56/$K$27*0.25</x:f>
        <x:v>0.008106914086345764</x:v>
      </x:c>
      <x:c r="C56" s="3"/>
      <x:c r="D56" s="3"/>
      <x:c r="E56" t="n">
        <x:f>IF(A56&lt;10,EXP(-((LN(10-A56)-$K$33)^2)/(2*$K$34^2))/(10-A56),0)</x:f>
        <x:v>0.07691483198372209</x:v>
      </x:c>
      <x:c r="F56" t="n">
        <x:f>(E55+E56)*(A56-A55)/2</x:f>
        <x:v>0.0019093869319452056</x:v>
      </x:c>
      <x:c r="G56" t="n">
        <x:f>(A55*E55+A56*E56)*(A56-A55)/2</x:f>
        <x:v>0.010716602703888063</x:v>
      </x:c>
      <x:c r="H56" t="n">
        <x:f>H55+F56/$K$27</x:f>
        <x:v>0.017146148311240082</x:v>
      </x:c>
    </x:row>
    <x:row r="57">
      <x:c r="A57" s="2" t="n">
        <x:v>5.65</x:v>
      </x:c>
      <x:c r="B57" s="3" t="n">
        <x:f>E57/$K$27*0.25</x:f>
        <x:v>0.008222624851069157</x:v>
      </x:c>
      <x:c r="C57" s="3"/>
      <x:c r="D57" s="3"/>
      <x:c r="E57" t="n">
        <x:f>IF(A57&lt;10,EXP(-((LN(10-A57)-$K$33)^2)/(2*$K$34^2))/(10-A57),0)</x:f>
        <x:v>0.07801264478062808</x:v>
      </x:c>
      <x:c r="F57" t="n">
        <x:f>(E56+E57)*(A57-A56)/2</x:f>
        <x:v>0.0019365934595544046</x:v>
      </x:c>
      <x:c r="G57" t="n">
        <x:f>(A56*E56+A57*E57)*(A57-A56)/2</x:f>
        <x:v>0.010917717161487473</x:v>
      </x:c>
      <x:c r="H57" t="n">
        <x:f>H56+F57/$K$27</x:f>
        <x:v>0.01796262525811084</x:v>
      </x:c>
    </x:row>
    <x:row r="58">
      <x:c r="A58" s="2" t="n">
        <x:v>5.675</x:v>
      </x:c>
      <x:c r="B58" s="3" t="n">
        <x:f>E58/$K$27*0.25</x:f>
        <x:v>0.008340392161818061</x:v>
      </x:c>
      <x:c r="C58" s="3"/>
      <x:c r="D58" s="3"/>
      <x:c r="E58" t="n">
        <x:f>IF(A58&lt;10,EXP(-((LN(10-A58)-$K$33)^2)/(2*$K$34^2))/(10-A58),0)</x:f>
        <x:v>0.07912996918088082</x:v>
      </x:c>
      <x:c r="F58" t="n">
        <x:f>(E57+E58)*(A58-A57)/2</x:f>
        <x:v>0.0019642826745188196</x:v>
      </x:c>
      <x:c r="G58" t="n">
        <x:f>(A57*E57+A58*E58)*(A58-A57)/2</x:f>
        <x:v>0.011122925226400354</x:v>
      </x:c>
      <x:c r="H58" t="n">
        <x:f>H57+F58/$K$27</x:f>
        <x:v>0.018790776108755184</x:v>
      </x:c>
    </x:row>
    <x:row r="59">
      <x:c r="A59" s="2" t="n">
        <x:v>5.7</x:v>
      </x:c>
      <x:c r="B59" s="3" t="n">
        <x:f>E59/$K$27*0.25</x:f>
        <x:v>0.008460260126677572</x:v>
      </x:c>
      <x:c r="C59" s="3"/>
      <x:c r="D59" s="3"/>
      <x:c r="E59" t="n">
        <x:f>IF(A59&lt;10,EXP(-((LN(10-A59)-$K$33)^2)/(2*$K$34^2))/(10-A59),0)</x:f>
        <x:v>0.08026722366257422</x:v>
      </x:c>
      <x:c r="F59" t="n">
        <x:f>(E58+E59)*(A59-A58)/2</x:f>
        <x:v>0.0019924649105432166</x:v>
      </x:c>
      <x:c r="G59" t="n">
        <x:f>(A58*E58+A59*E59)*(A59-A58)/2</x:f>
        <x:v>0.011332321874727307</x:v>
      </x:c>
      <x:c r="H59" t="n">
        <x:f>H58+F59/$K$27</x:f>
        <x:v>0.019630808723179977</x:v>
      </x:c>
    </x:row>
    <x:row r="60">
      <x:c r="A60" s="2" t="n">
        <x:v>5.725</x:v>
      </x:c>
      <x:c r="B60" s="3" t="n">
        <x:f>E60/$K$27*0.25</x:f>
        <x:v>0.008582273966415466</x:v>
      </x:c>
      <x:c r="C60" s="3"/>
      <x:c r="D60" s="3"/>
      <x:c r="E60" t="n">
        <x:f>IF(A60&lt;10,EXP(-((LN(10-A60)-$K$33)^2)/(2*$K$34^2))/(10-A60),0)</x:f>
        <x:v>0.0814248372604456</x:v>
      </x:c>
      <x:c r="F60" t="n">
        <x:f>(E59+E60)*(A60-A59)/2</x:f>
        <x:v>0.002021150761537704</x:v>
      </x:c>
      <x:c r="G60" t="n">
        <x:f>(A59*E59+A60*E60)*(A60-A59)/2</x:f>
        <x:v>0.011546004602408804</x:v>
      </x:c>
      <x:c r="H60" t="n">
        <x:f>H59+F60/$K$27</x:f>
        <x:v>0.020482935427834612</x:v>
      </x:c>
    </x:row>
    <x:row r="61">
      <x:c r="A61" s="2" t="n">
        <x:v>5.75</x:v>
      </x:c>
      <x:c r="B61" s="3" t="n">
        <x:f>E61/$K$27*0.25</x:f>
        <x:v>0.008706480046789672</x:v>
      </x:c>
      <x:c r="C61" s="3"/>
      <x:c r="D61" s="3"/>
      <x:c r="E61" t="n">
        <x:f>IF(A61&lt;10,EXP(-((LN(10-A61)-$K$33)^2)/(2*$K$34^2))/(10-A61),0)</x:f>
        <x:v>0.08260324987239483</x:v>
      </x:c>
      <x:c r="F61" t="n">
        <x:f>(E60+E61)*(A61-A60)/2</x:f>
        <x:v>0.0020503510891605346</x:v>
      </x:c>
      <x:c r="G61" t="n">
        <x:f>(A60*E60+A61*E61)*(A61-A60)/2</x:f>
        <x:v>0.011764073501029183</x:v>
      </x:c>
      <x:c r="H61" t="n">
        <x:f>H60+F61/$K$27</x:f>
        <x:v>0.02134737312849488</x:v>
      </x:c>
    </x:row>
    <x:row r="62">
      <x:c r="A62" s="2" t="n">
        <x:v>5.775</x:v>
      </x:c>
      <x:c r="B62" s="3" t="n">
        <x:f>E62/$K$27*0.25</x:f>
        <x:v>0.008832925911915078</x:v>
      </x:c>
      <x:c r="C62" s="3"/>
      <x:c r="D62" s="3"/>
      <x:c r="E62" t="n">
        <x:f>IF(A62&lt;10,EXP(-((LN(10-A62)-$K$33)^2)/(2*$K$34^2))/(10-A62),0)</x:f>
        <x:v>0.08380291257605385</x:v>
      </x:c>
      <x:c r="F62" t="n">
        <x:f>(E61+E62)*(A62-A61)/2</x:f>
        <x:v>0.0020800770306056383</x:v>
      </x:c>
      <x:c r="G62" t="n">
        <x:f>(A61*E61+A62*E62)*(A62-A61)/2</x:f>
        <x:v>0.011986631336162436</x:v>
      </x:c>
      <x:c r="H62" t="n">
        <x:f>H61+F62/$K$27</x:f>
        <x:v>0.02222434342643013</x:v>
      </x:c>
    </x:row>
    <x:row r="63">
      <x:c r="A63" s="2" t="n">
        <x:v>5.8</x:v>
      </x:c>
      <x:c r="B63" s="3" t="n">
        <x:f>E63/$K$27*0.25</x:f>
        <x:v>0.008961660318728195</x:v>
      </x:c>
      <x:c r="C63" s="3"/>
      <x:c r="D63" s="3"/>
      <x:c r="E63" t="n">
        <x:f>IF(A63&lt;10,EXP(-((LN(10-A63)-$K$33)^2)/(2*$K$34^2))/(10-A63),0)</x:f>
        <x:v>0.08502428795577224</x:v>
      </x:c>
      <x:c r="F63" t="n">
        <x:f>(E62+E63)*(A63-A62)/2</x:f>
        <x:v>0.0021103400066477813</x:v>
      </x:c>
      <x:c r="G63" t="n">
        <x:f>(A62*E62+A63*E63)*(A63-A62)/2</x:f>
        <x:v>0.012213783628377115</x:v>
      </x:c>
      <x:c r="H63" t="n">
        <x:f>H62+F63/$K$27</x:f>
        <x:v>0.023114072737962277</x:v>
      </x:c>
    </x:row>
    <x:row r="64">
      <x:c r="A64" s="2" t="n">
        <x:v>5.825</x:v>
      </x:c>
      <x:c r="B64" s="3" t="n">
        <x:f>E64/$K$27*0.25</x:f>
        <x:v>0.009092733272589741</x:v>
      </x:c>
      <x:c r="C64" s="3"/>
      <x:c r="D64" s="3"/>
      <x:c r="E64" t="n">
        <x:f>IF(A64&lt;10,EXP(-((LN(10-A64)-$K$33)^2)/(2*$K$34^2))/(10-A64),0)</x:f>
        <x:v>0.08626785044039892</x:v>
      </x:c>
      <x:c r="F64" t="n">
        <x:f>(E63+E64)*(A64-A63)/2</x:f>
        <x:v>0.00214115172995217</x:v>
      </x:c>
      <x:c r="G64" t="n">
        <x:f>(A63*E63+A64*E64)*(A64-A63)/2</x:f>
        <x:v>0.012445638736985211</x:v>
      </x:c>
      <x:c r="H64" t="n">
        <x:f>H63+F64/$K$27</x:f>
        <x:v>0.024016792417528188</x:v>
      </x:c>
    </x:row>
    <x:row r="65">
      <x:c r="A65" s="2" t="n">
        <x:v>5.85</x:v>
      </x:c>
      <x:c r="B65" s="3" t="n">
        <x:f>E65/$K$27*0.25</x:f>
        <x:v>0.009226196064066758</x:v>
      </x:c>
      <x:c r="C65" s="3"/>
      <x:c r="D65" s="3"/>
      <x:c r="E65" t="n">
        <x:f>IF(A65&lt;10,EXP(-((LN(10-A65)-$K$33)^2)/(2*$K$34^2))/(10-A65),0)</x:f>
        <x:v>0.08753408665225451</x:v>
      </x:c>
      <x:c r="F65" t="n">
        <x:f>(E64+E65)*(A65-A64)/2</x:f>
        <x:v>0.0021725242136581215</x:v>
      </x:c>
      <x:c r="G65" t="n">
        <x:f>(A64*E64+A65*E65)*(A65-A64)/2</x:f>
        <x:v>0.012682307946637385</x:v>
      </x:c>
      <x:c r="H65" t="n">
        <x:f>H64+F65/$K$27</x:f>
        <x:v>0.024932738884360994</x:v>
      </x:c>
    </x:row>
    <x:row r="66">
      <x:c r="A66" s="2" t="n">
        <x:v>5.875</x:v>
      </x:c>
      <x:c r="B66" s="3" t="n">
        <x:f>E66/$K$27*0.25</x:f>
        <x:v>0.009362101306937586</x:v>
      </x:c>
      <x:c r="C66" s="3"/>
      <x:c r="D66" s="3"/>
      <x:c r="E66" t="n">
        <x:f>IF(A66&lt;10,EXP(-((LN(10-A66)-$K$33)^2)/(2*$K$34^2))/(10-A66),0)</x:f>
        <x:v>0.08882349576770604</x:v>
      </x:c>
      <x:c r="F66" t="n">
        <x:f>(E65+E66)*(A66-A65)/2</x:f>
        <x:v>0.0022044697802495383</x:v>
      </x:c>
      <x:c r="G66" t="n">
        <x:f>(A65*E65+A66*E66)*(A66-A65)/2</x:f>
        <x:v>0.012923905556887206</x:v>
      </x:c>
      <x:c r="H66" t="n">
        <x:f>H65+F66/$K$27</x:f>
        <x:v>0.025862153752911225</x:v>
      </x:c>
    </x:row>
    <x:row r="67">
      <x:c r="A67" s="2" t="n">
        <x:v>5.9</x:v>
      </x:c>
      <x:c r="B67" s="3" t="n">
        <x:f>E67/$K$27*0.25</x:f>
        <x:v>0.009500502977464716</x:v>
      </x:c>
      <x:c r="C67" s="3"/>
      <x:c r="D67" s="3"/>
      <x:c r="E67" t="n">
        <x:f>IF(A67&lt;10,EXP(-((LN(10-A67)-$K$33)^2)/(2*$K$34^2))/(10-A67),0)</x:f>
        <x:v>0.09013658988977032</x:v>
      </x:c>
      <x:c r="F67" t="n">
        <x:f>(E66+E67)*(A67-A66)/2</x:f>
        <x:v>0.002237001070718486</x:v>
      </x:c>
      <x:c r="G67" t="n">
        <x:f>(A66*E66+A67*E67)*(A67-A66)/2</x:f>
        <x:v>0.013170548974811661</x:v>
      </x:c>
      <x:c r="H67" t="n">
        <x:f>H66+F67/$K$27</x:f>
        <x:v>0.026805283967131353</x:v>
      </x:c>
    </x:row>
    <x:row r="68">
      <x:c r="A68" s="2" t="n">
        <x:v>5.925</x:v>
      </x:c>
      <x:c r="B68" s="3" t="n">
        <x:f>E68/$K$27*0.25</x:f>
        <x:v>0.009641456454982357</x:v>
      </x:c>
      <x:c r="C68" s="3"/>
      <x:c r="D68" s="3"/>
      <x:c r="E68" t="n">
        <x:f>IF(A68&lt;10,EXP(-((LN(10-A68)-$K$33)^2)/(2*$K$34^2))/(10-A68),0)</x:f>
        <x:v>0.09147389443319093</x:v>
      </x:c>
      <x:c r="F68" t="n">
        <x:f>(E67+E68)*(A68-A67)/2</x:f>
        <x:v>0.002270131054036967</x:v>
      </x:c>
      <x:c r="G68" t="n">
        <x:f>(A67*E67+A68*E68)*(A68-A67)/2</x:f>
        <x:v>0.01342235881082848</x:v>
      </x:c>
      <x:c r="H68" t="n">
        <x:f>H67+F68/$K$27</x:f>
        <x:v>0.027762381938753685</x:v>
      </x:c>
    </x:row>
    <x:row r="69">
      <x:c r="A69" s="2" t="n">
        <x:v>5.95</x:v>
      </x:c>
      <x:c r="B69" s="3" t="n">
        <x:f>E69/$K$27*0.25</x:f>
        <x:v>0.009785018563847406</x:v>
      </x:c>
      <x:c r="C69" s="3"/>
      <x:c r="D69" s="3"/>
      <x:c r="E69" t="n">
        <x:f>IF(A69&lt;10,EXP(-((LN(10-A69)-$K$33)^2)/(2*$K$34^2))/(10-A69),0)</x:f>
        <x:v>0.0928359485224506</x:v>
      </x:c>
      <x:c r="F69" t="n">
        <x:f>(E68+E69)*(A69-A68)/2</x:f>
        <x:v>0.0023038730369455518</x:v>
      </x:c>
      <x:c r="G69" t="n">
        <x:f>(A68*E68+A69*E69)*(A69-A68)/2</x:f>
        <x:v>0.013679458977815662</x:v>
      </x:c>
      <x:c r="H69" t="n">
        <x:f>H68+F69/$K$27</x:f>
        <x:v>0.028733705689695188</x:v>
      </x:c>
    </x:row>
    <x:row r="70">
      <x:c r="A70" s="2" t="n">
        <x:v>5.975</x:v>
      </x:c>
      <x:c r="B70" s="3" t="n">
        <x:f>E70/$K$27*0.25</x:f>
        <x:v>0.009931247616804457</x:v>
      </x:c>
      <x:c r="C70" s="3"/>
      <x:c r="D70" s="3"/>
      <x:c r="E70" t="n">
        <x:f>IF(A70&lt;10,EXP(-((LN(10-A70)-$K$33)^2)/(2*$K$34^2))/(10-A70),0)</x:f>
        <x:v>0.0942233054031993</x:v>
      </x:c>
      <x:c r="F70" t="n">
        <x:f>(E69+E70)*(A70-A69)/2</x:f>
        <x:v>0.0023382406740705738</x:v>
      </x:c>
      <x:c r="G70" t="n">
        <x:f>(A69*E69+A70*E70)*(A70-A69)/2</x:f>
        <x:v>0.013941976793658413</x:v>
      </x:c>
      <x:c r="H70" t="n">
        <x:f>H69+F70/$K$27</x:f>
        <x:v>0.02971951899872776</x:v>
      </x:c>
    </x:row>
    <x:row r="71">
      <x:c r="A71" s="2" t="n">
        <x:v>6</x:v>
      </x:c>
      <x:c r="B71" s="3" t="n">
        <x:f>E71/$K$27*0.25</x:f>
        <x:v>0.01008020345981762</x:v>
      </x:c>
      <x:c r="C71" s="3"/>
      <x:c r="D71" s="3"/>
      <x:c r="E71" t="n">
        <x:f>IF(A71&lt;10,EXP(-((LN(10-A71)-$K$33)^2)/(2*$K$34^2))/(10-A71),0)</x:f>
        <x:v>0.09563653286759882</x:v>
      </x:c>
      <x:c r="F71" t="n">
        <x:f>(E70+E71)*(A71-A70)/2</x:f>
        <x:v>0.00237324797838501</x:v>
      </x:c>
      <x:c r="G71" t="n">
        <x:f>(A70*E70+A71*E71)*(A71-A70)/2</x:f>
        <x:v>0.014210043087371562</x:v>
      </x:c>
      <x:c r="H71" t="n">
        <x:f>H70+F71/$K$27</x:f>
        <x:v>0.03072009155255888</x:v>
      </x:c>
    </x:row>
    <x:row r="72">
      <x:c r="A72" s="2" t="n">
        <x:v>6.025</x:v>
      </x:c>
      <x:c r="B72" s="3" t="n">
        <x:f>E72/$K$27*0.25</x:f>
        <x:v>0.010231947518423871</x:v>
      </x:c>
      <x:c r="C72" s="3"/>
      <x:c r="D72" s="3"/>
      <x:c r="E72" t="n">
        <x:f>IF(A72&lt;10,EXP(-((LN(10-A72)-$K$33)^2)/(2*$K$34^2))/(10-A72),0)</x:f>
        <x:v>0.0970762136941029</x:v>
      </x:c>
      <x:c r="F72" t="n">
        <x:f>(E71+E72)*(A72-A71)/2</x:f>
        <x:v>0.0024089093320213057</x:v>
      </x:c>
      <x:c r="G72" t="n">
        <x:f>(A71*E71+A72*E72)*(A72-A71)/2</x:f>
        <x:v>0.014483792308907242</x:v>
      </x:c>
      <x:c r="H72" t="n">
        <x:f>H71+F72/$K$27</x:f>
        <x:v>0.03173569910147097</x:v>
      </x:c>
    </x:row>
    <x:row r="73">
      <x:c r="A73" s="2" t="n">
        <x:v>6.05</x:v>
      </x:c>
      <x:c r="B73" s="3" t="n">
        <x:f>E73/$K$27*0.25</x:f>
        <x:v>0.01038654284566505</x:v>
      </x:c>
      <x:c r="C73" s="3"/>
      <x:c r="D73" s="3"/>
      <x:c r="E73" t="n">
        <x:f>IF(A73&lt;10,EXP(-((LN(10-A73)-$K$33)^2)/(2*$K$34^2))/(10-A73),0)</x:f>
        <x:v>0.098542946102215</x:v>
      </x:c>
      <x:c r="F73" t="n">
        <x:f>(E72+E73)*(A73-A72)/2</x:f>
        <x:v>0.0024452394974539215</x:v>
      </x:c>
      <x:c r="G73" t="n">
        <x:f>(A72*E72+A73*E73)*(A73-A72)/2</x:f>
        <x:v>0.014763362642816821</x:v>
      </x:c>
      <x:c r="H73" t="n">
        <x:f>H72+F73/$K$27</x:f>
        <x:v>0.032766623619675396</x:v>
      </x:c>
    </x:row>
    <x:row r="74">
      <x:c r="A74" s="2" t="n">
        <x:v>6.075</x:v>
      </x:c>
      <x:c r="B74" s="3" t="n">
        <x:f>E74/$K$27*0.25</x:f>
        <x:v>0.010544054171657885</x:v>
      </x:c>
      <x:c r="C74" s="3"/>
      <x:c r="D74" s="3"/>
      <x:c r="E74" t="n">
        <x:f>IF(A74&lt;10,EXP(-((LN(10-A74)-$K$33)^2)/(2*$K$34^2))/(10-A74),0)</x:f>
        <x:v>0.1000373442227868</x:v>
      </x:c>
      <x:c r="F74" t="n">
        <x:f>(E73+E74)*(A74-A73)/2</x:f>
        <x:v>0.002482253629062558</x:v>
      </x:c>
      <x:c r="G74" t="n">
        <x:f>(A73*E73+A74*E74)*(A74-A73)/2</x:f>
        <x:v>0.015048896125898095</x:v>
      </x:c>
      <x:c r="H74" t="n">
        <x:f>H73+F74/$K$27</x:f>
        <x:v>0.033813153470541556</x:v>
      </x:c>
    </x:row>
    <x:row r="75">
      <x:c r="A75" s="2" t="n">
        <x:v>6.1</x:v>
      </x:c>
      <x:c r="B75" s="3" t="n">
        <x:f>E75/$K$27*0.25</x:f>
        <x:v>0.010704547954863593</x:v>
      </x:c>
      <x:c r="C75" s="3"/>
      <x:c r="D75" s="3"/>
      <x:c r="E75" t="n">
        <x:f>IF(A75&lt;10,EXP(-((LN(10-A75)-$K$33)^2)/(2*$K$34^2))/(10-A75),0)</x:f>
        <x:v>0.10156003858444164</x:v>
      </x:c>
      <x:c r="F75" t="n">
        <x:f>(E74+E75)*(A75-A74)/2</x:f>
        <x:v>0.0025199672850903018</x:v>
      </x:c>
      <x:c r="G75" t="n">
        <x:f>(A74*E74+A75*E75)*(A75-A74)/2</x:f>
        <x:v>0.015340538768981221</x:v>
      </x:c>
      <x:c r="H75" t="n">
        <x:f>H74+F75/$K$27</x:f>
        <x:v>0.034875583576867604</x:v>
      </x:c>
    </x:row>
    <x:row r="76">
      <x:c r="A76" s="2" t="n">
        <x:v>6.125</x:v>
      </x:c>
      <x:c r="B76" s="3" t="n">
        <x:f>E76/$K$27*0.25</x:f>
        <x:v>0.010868092435121633</x:v>
      </x:c>
      <x:c r="C76" s="3"/>
      <x:c r="D76" s="3"/>
      <x:c r="E76" t="n">
        <x:f>IF(A76&lt;10,EXP(-((LN(10-A76)-$K$33)^2)/(2*$K$34^2))/(10-A76),0)</x:f>
        <x:v>0.10311167661673543</x:v>
      </x:c>
      <x:c r="F76" t="n">
        <x:f>(E75+E76)*(A76-A75)/2</x:f>
        <x:v>0.0025583964400147496</x:v>
      </x:c>
      <x:c r="G76" t="n">
        <x:f>(A75*E75+A76*E76)*(A76-A75)/2</x:f>
        <x:v>0.0156384406830327</x:v>
      </x:c>
      <x:c r="H76" t="n">
        <x:f>H75+F76/$K$27</x:f>
        <x:v>0.03595421559636688</x:v>
      </x:c>
    </x:row>
    <x:row r="77">
      <x:c r="A77" s="2" t="n">
        <x:v>6.15</x:v>
      </x:c>
      <x:c r="B77" s="3" t="n">
        <x:f>E77/$K$27*0.25</x:f>
        <x:v>0.011034757688514215</x:v>
      </x:c>
      <x:c r="C77" s="3"/>
      <x:c r="D77" s="3"/>
      <x:c r="E77" t="n">
        <x:f>IF(A77&lt;10,EXP(-((LN(10-A77)-$K$33)^2)/(2*$K$34^2))/(10-A77),0)</x:f>
        <x:v>0.10469292317068692</x:v>
      </x:c>
      <x:c r="F77" t="n">
        <x:f>(E76+E77)*(A77-A76)/2</x:f>
        <x:v>0.002597557497342816</x:v>
      </x:c>
      <x:c r="G77" t="n">
        <x:f>(A76*E76+A77*E77)*(A77-A76)/2</x:f>
        <x:v>0.01594275620971559</x:v>
      </x:c>
      <x:c r="H77" t="n">
        <x:f>H76+F77/$K$27</x:f>
        <x:v>0.03704935810254868</x:v>
      </x:c>
    </x:row>
    <x:row r="78">
      <x:c r="A78" s="2" t="n">
        <x:v>6.175</x:v>
      </x:c>
      <x:c r="B78" s="3" t="n">
        <x:f>E78/$K$27*0.25</x:f>
        <x:v>0.011204615684131322</x:v>
      </x:c>
      <x:c r="C78" s="3"/>
      <x:c r="D78" s="3"/>
      <x:c r="E78" t="n">
        <x:f>IF(A78&lt;10,EXP(-((LN(10-A78)-$K$33)^2)/(2*$K$34^2))/(10-A78),0)</x:f>
        <x:v>0.10630446105733923</x:v>
      </x:c>
      <x:c r="F78" t="n">
        <x:f>(E77+E78)*(A78-A77)/2</x:f>
        <x:v>0.002637467302850271</x:v>
      </x:c>
      <x:c r="G78" t="n">
        <x:f>(A77*E77+A78*E78)*(A78-A77)/2</x:f>
        <x:v>0.016253644056609583</x:v>
      </x:c>
      <x:c r="H78" t="n">
        <x:f>H77+F78/$K$27</x:f>
        <x:v>0.038161326771180934</x:v>
      </x:c>
    </x:row>
    <x:row r="79">
      <x:c r="A79" s="2" t="n">
        <x:v>6.2</x:v>
      </x:c>
      <x:c r="B79" s="3" t="n">
        <x:f>E79/$K$27*0.25</x:f>
        <x:v>0.011377740342808687</x:v>
      </x:c>
      <x:c r="C79" s="3"/>
      <x:c r="D79" s="3"/>
      <x:c r="E79" t="n">
        <x:f>IF(A79&lt;10,EXP(-((LN(10-A79)-$K$33)^2)/(2*$K$34^2))/(10-A79),0)</x:f>
        <x:v>0.10794699160504002</x:v>
      </x:c>
      <x:c r="F79" t="n">
        <x:f>(E78+E79)*(A79-A78)/2</x:f>
        <x:v>0.002678143158279779</x:v>
      </x:c>
      <x:c r="G79" t="n">
        <x:f>(A78*E78+A79*E79)*(A79-A78)/2</x:f>
        <x:v>0.01657126743725421</x:v>
      </x:c>
      <x:c r="H79" t="n">
        <x:f>H78+F79/$K$27</x:f>
        <x:v>0.03929044457252795</x:v>
      </x:c>
    </x:row>
    <x:row r="80">
      <x:c r="A80" s="2" t="n">
        <x:v>6.225</x:v>
      </x:c>
      <x:c r="B80" s="3" t="n">
        <x:f>E80/$K$27*0.25</x:f>
        <x:v>0.011554207597914019</x:v>
      </x:c>
      <x:c r="C80" s="3"/>
      <x:c r="D80" s="3"/>
      <x:c r="E80" t="n">
        <x:f>IF(A80&lt;10,EXP(-((LN(10-A80)-$K$33)^2)/(2*$K$34^2))/(10-A80),0)</x:f>
        <x:v>0.10962123523615432</x:v>
      </x:c>
      <x:c r="F80" t="n">
        <x:f>(E79+E80)*(A80-A79)/2</x:f>
        <x:v>0.0027196028355148715</x:v>
      </x:c>
      <x:c r="G80" t="n">
        <x:f>(A79*E79+A80*E80)*(A80-A79)/2</x:f>
        <x:v>0.0168957942162035</x:v>
      </x:c>
      <x:c r="H80" t="n">
        <x:f>H79+F80/$K$27</x:f>
        <x:v>0.04043704196956406</x:v>
      </x:c>
    </x:row>
    <x:row r="81">
      <x:c r="A81" s="2" t="n">
        <x:v>6.25</x:v>
      </x:c>
      <x:c r="B81" s="3" t="n">
        <x:f>E81/$K$27*0.25</x:f>
        <x:v>0.011734095458260173</x:v>
      </x:c>
      <x:c r="C81" s="3"/>
      <x:c r="D81" s="3"/>
      <x:c r="E81" t="n">
        <x:f>IF(A81&lt;10,EXP(-((LN(10-A81)-$K$33)^2)/(2*$K$34^2))/(10-A81),0)</x:f>
        <x:v>0.11132793206395707</x:v>
      </x:c>
      <x:c r="F81" t="n">
        <x:f>(E80+E81)*(A81-A80)/2</x:f>
        <x:v>0.0027618645912514317</x:v>
      </x:c>
      <x:c r="G81" t="n">
        <x:f>(A80*E80+A81*E81)*(A81-A80)/2</x:f>
        <x:v>0.01722739705931015</x:v>
      </x:c>
      <x:c r="H81" t="n">
        <x:f>H80+F81/$K$27</x:f>
        <x:v>0.04160145712237279</x:v>
      </x:c>
    </x:row>
    <x:row r="82">
      <x:c r="A82" s="2" t="n">
        <x:v>6.275</x:v>
      </x:c>
      <x:c r="B82" s="3" t="n">
        <x:f>E82/$K$27*0.25</x:f>
        <x:v>0.011917484073226788</x:v>
      </x:c>
      <x:c r="C82" s="3"/>
      <x:c r="D82" s="3"/>
      <x:c r="E82" t="n">
        <x:f>IF(A82&lt;10,EXP(-((LN(10-A82)-$K$33)^2)/(2*$K$34^2))/(10-A82),0)</x:f>
        <x:v>0.1130678425104785</x:v>
      </x:c>
      <x:c r="F82" t="n">
        <x:f>(E81+E82)*(A82-A81)/2</x:f>
        <x:v>0.002804947182180484</x:v>
      </x:c>
      <x:c r="G82" t="n">
        <x:f>(A81*E81+A82*E82)*(A82-A81)/2</x:f>
        <x:v>0.017566253589412554</x:v>
      </x:c>
      <x:c r="H82" t="n">
        <x:f>H81+F82/$K$27</x:f>
        <x:v>0.042784036098947154</x:v>
      </x:c>
    </x:row>
    <x:row r="83">
      <x:c r="A83" s="2" t="n">
        <x:v>6.3</x:v>
      </x:c>
      <x:c r="B83" s="3" t="n">
        <x:f>E83/$K$27*0.25</x:f>
        <x:v>0.012104455800175577</x:v>
      </x:c>
      <x:c r="C83" s="3"/>
      <x:c r="D83" s="3"/>
      <x:c r="E83" t="n">
        <x:f>IF(A83&lt;10,EXP(-((LN(10-A83)-$K$33)^2)/(2*$K$34^2))/(10-A83),0)</x:f>
        <x:v>0.11484174794611075</x:v>
      </x:c>
      <x:c r="F83" t="n">
        <x:f>(E82+E83)*(A83-A82)/2</x:f>
        <x:v>0.0028488698807073052</x:v>
      </x:c>
      <x:c r="G83" t="n">
        <x:f>(A82*E82+A83*E83)*(A83-A82)/2</x:f>
        <x:v>0.017912546547671496</x:v>
      </x:c>
      <x:c r="H83" t="n">
        <x:f>H82+F83/$K$27</x:f>
        <x:v>0.04398513309261724</x:v>
      </x:c>
    </x:row>
    <x:row r="84">
      <x:c r="A84" s="2" t="n">
        <x:v>6.325</x:v>
      </x:c>
      <x:c r="B84" s="3" t="n">
        <x:f>E84/$K$27*0.25</x:f>
        <x:v>0.012295095274247847</x:v>
      </x:c>
      <x:c r="C84" s="3"/>
      <x:c r="D84" s="3"/>
      <x:c r="E84" t="n">
        <x:f>IF(A84&lt;10,EXP(-((LN(10-A84)-$K$33)^2)/(2*$K$34^2))/(10-A84),0)</x:f>
        <x:v>0.11665045135181605</x:v>
      </x:c>
      <x:c r="F84" t="n">
        <x:f>(E83+E84)*(A84-A83)/2</x:f>
        <x:v>0.002893652491224126</x:v>
      </x:c>
      <x:c r="G84" t="n">
        <x:f>(A83*E83+A84*E84)*(A84-A83)/2</x:f>
        <x:v>0.018266463960759437</x:v>
      </x:c>
      <x:c r="H84" t="n">
        <x:f>H83+F84/$K$27</x:f>
        <x:v>0.045205110646338434</x:v>
      </x:c>
    </x:row>
    <x:row r="85">
      <x:c r="A85" s="2" t="n">
        <x:v>6.35</x:v>
      </x:c>
      <x:c r="B85" s="3" t="n">
        <x:f>E85/$K$27*0.25</x:f>
        <x:v>0.012489489480636324</x:v>
      </x:c>
      <x:c r="C85" s="3"/>
      <x:c r="D85" s="3"/>
      <x:c r="E85" t="n">
        <x:f>IF(A85&lt;10,EXP(-((LN(10-A85)-$K$33)^2)/(2*$K$34^2))/(10-A85),0)</x:f>
        <x:v>0.11849477800480988</x:v>
      </x:c>
      <x:c r="F85" t="n">
        <x:f>(E84+E85)*(A85-A84)/2</x:f>
        <x:v>0.0029393153669577616</x:v>
      </x:c>
      <x:c r="G85" t="n">
        <x:f>(A84*E84+A85*E85)*(A85-A84)/2</x:f>
        <x:v>0.018628199314134345</x:v>
      </x:c>
      <x:c r="H85" t="n">
        <x:f>H84+F85/$K$27</x:f>
        <x:v>0.046444339884082614</x:v>
      </x:c>
    </x:row>
    <x:row r="86">
      <x:c r="A86" s="2" t="n">
        <x:v>6.375</x:v>
      </x:c>
      <x:c r="B86" s="3" t="n">
        <x:f>E86/$K$27*0.25</x:f>
        <x:v>0.012687727829427477</x:v>
      </x:c>
      <x:c r="C86" s="3"/>
      <x:c r="D86" s="3"/>
      <x:c r="E86" t="n">
        <x:f>IF(A86&lt;10,EXP(-((LN(10-A86)-$K$33)^2)/(2*$K$34^2))/(10-A86),0)</x:f>
        <x:v>0.12037557618863214</x:v>
      </x:c>
      <x:c r="F86" t="n">
        <x:f>(E85+E86)*(A86-A85)/2</x:f>
        <x:v>0.002985879427418068</x:v>
      </x:c>
      <x:c r="G86" t="n">
        <x:f>(A85*E85+A86*E86)*(A86-A85)/2</x:f>
        <x:v>0.01899795173166368</x:v>
      </x:c>
      <x:c r="H86" t="n">
        <x:f>H85+F86/$K$27</x:f>
        <x:v>0.047703200749585825</x:v>
      </x:c>
    </x:row>
    <x:row r="87">
      <x:c r="A87" s="2" t="n">
        <x:v>6.4</x:v>
      </x:c>
      <x:c r="B87" s="3" t="n">
        <x:f>E87/$K$27*0.25</x:f>
        <x:v>0.012889902233114087</x:v>
      </x:c>
      <x:c r="C87" s="3"/>
      <x:c r="D87" s="3"/>
      <x:c r="E87" t="n">
        <x:f>IF(A87&lt;10,EXP(-((LN(10-A87)-$K$33)^2)/(2*$K$34^2))/(10-A87),0)</x:f>
        <x:v>0.12229371792855208</x:v>
      </x:c>
      <x:c r="F87" t="n">
        <x:f>(E86+E87)*(A87-A86)/2</x:f>
        <x:v>0.003033366176464846</x:v>
      </x:c>
      <x:c r="G87" t="n">
        <x:f>(A86*E86+A87*E87)*(A87-A86)/2</x:f>
        <x:v>0.019375926161816066</x:v>
      </x:c>
      <x:c r="H87" t="n">
        <x:f>H86+F87/$K$27</x:f>
        <x:v>0.04898208225271292</x:v>
      </x:c>
    </x:row>
    <x:row r="88">
      <x:c r="A88" s="2" t="n">
        <x:v>6.425</x:v>
      </x:c>
      <x:c r="B88" s="3" t="n">
        <x:f>E88/$K$27*0.25</x:f>
        <x:v>0.01309610718688228</x:v>
      </x:c>
      <x:c r="C88" s="3"/>
      <x:c r="D88" s="3"/>
      <x:c r="E88" t="n">
        <x:f>IF(A88&lt;10,EXP(-((LN(10-A88)-$K$33)^2)/(2*$K$34^2))/(10-A88),0)</x:f>
        <x:v>0.12425009975329654</x:v>
      </x:c>
      <x:c r="F88" t="n">
        <x:f>(E87+E88)*(A88-A87)/2</x:f>
        <x:v>0.0030817977210230423</x:v>
      </x:c>
      <x:c r="G88" t="n">
        <x:f>(A87*E87+A88*E88)*(A88-A87)/2</x:f>
        <x:v>0.019762333570720374</x:v>
      </x:c>
      <x:c r="H88" t="n">
        <x:f>H87+F88/$K$27</x:f>
        <x:v>0.050281382723712714</x:v>
      </x:c>
    </x:row>
    <x:row r="89">
      <x:c r="A89" s="2" t="n">
        <x:v>6.45</x:v>
      </x:c>
      <x:c r="B89" s="3" t="n">
        <x:f>E89/$K$27*0.25</x:f>
        <x:v>0.013306439851781302</x:v>
      </x:c>
      <x:c r="C89" s="3"/>
      <x:c r="D89" s="3"/>
      <x:c r="E89" t="n">
        <x:f>IF(A89&lt;10,EXP(-((LN(10-A89)-$K$33)^2)/(2*$K$34^2))/(10-A89),0)</x:f>
        <x:v>0.12624564348412803</x:v>
      </x:c>
      <x:c r="F89" t="n">
        <x:f>(E88+E89)*(A89-A88)/2</x:f>
        <x:v>0.0031311967904678515</x:v>
      </x:c>
      <x:c r="G89" t="n">
        <x:f>(A88*E88+A89*E89)*(A89-A88)/2</x:f>
        <x:v>0.020157391142344737</x:v>
      </x:c>
      <x:c r="H89" t="n">
        <x:f>H88+F89/$K$27</x:f>
        <x:v>0.05160151007564591</x:v>
      </x:c>
    </x:row>
    <x:row r="90">
      <x:c r="A90" s="2" t="n">
        <x:v>6.475</x:v>
      </x:c>
      <x:c r="B90" s="3" t="n">
        <x:f>E90/$K$27*0.25</x:f>
        <x:v>0.013521000140888806</x:v>
      </x:c>
      <x:c r="C90" s="3"/>
      <x:c r="D90" s="3"/>
      <x:c r="E90" t="n">
        <x:f>IF(A90&lt;10,EXP(-((LN(10-A90)-$K$33)^2)/(2*$K$34^2))/(10-A90),0)</x:f>
        <x:v>0.12828129705234306</x:v>
      </x:c>
      <x:c r="F90" t="n">
        <x:f>(E89+E90)*(A90-A89)/2</x:f>
        <x:v>0.0031815867567058205</x:v>
      </x:c>
      <x:c r="G90" t="n">
        <x:f>(A89*E89+A90*E90)*(A90-A89)/2</x:f>
        <x:v>0.0205613224860814</x:v>
      </x:c>
      <x:c r="H90" t="n">
        <x:f>H89+F90/$K$27</x:f>
        <x:v>0.052942882075279384</x:v>
      </x:c>
    </x:row>
    <x:row r="91">
      <x:c r="A91" s="2" t="n">
        <x:v>6.5</x:v>
      </x:c>
      <x:c r="B91" s="3" t="n">
        <x:f>E91/$K$27*0.25</x:f>
        <x:v>0.013739890808589205</x:v>
      </x:c>
      <x:c r="C91" s="3"/>
      <x:c r="D91" s="3"/>
      <x:c r="E91" t="n">
        <x:f>IF(A91&lt;10,EXP(-((LN(10-A91)-$K$33)^2)/(2*$K$34^2))/(10-A91),0)</x:f>
        <x:v>0.1303580353463059</x:v>
      </x:c>
      <x:c r="F91" t="n">
        <x:f>(E90+E91)*(A91-A90)/2</x:f>
        <x:v>0.0032329916549831586</x:v>
      </x:c>
      <x:c r="G91" t="n">
        <x:f>(A90*E90+A91*E91)*(A91-A90)/2</x:f>
        <x:v>0.02097435785206167</x:v>
      </x:c>
      <x:c r="H91" t="n">
        <x:f>H90+F91/$K$27</x:f>
        <x:v>0.054305926622753305</x:v>
      </x:c>
    </x:row>
    <x:row r="92">
      <x:c r="A92" s="2" t="n">
        <x:v>6.525</x:v>
      </x:c>
      <x:c r="B92" s="3" t="n">
        <x:f>E92/$K$27*0.25</x:f>
        <x:v>0.013963217543087188</x:v>
      </x:c>
      <x:c r="C92" s="3"/>
      <x:c r="D92" s="3"/>
      <x:c r="E92" t="n">
        <x:f>IF(A92&lt;10,EXP(-((LN(10-A92)-$K$33)^2)/(2*$K$34^2))/(10-A92),0)</x:f>
        <x:v>0.132476861089176</x:v>
      </x:c>
      <x:c r="F92" t="n">
        <x:f>(E91+E92)*(A92-A91)/2</x:f>
        <x:v>0.0032854362054435707</x:v>
      </x:c>
      <x:c r="G92" t="n">
        <x:f>(A91*E91+A92*E92)*(A92-A91)/2</x:f>
        <x:v>0.021396734354473576</x:v>
      </x:c>
      <x:c r="H92" t="n">
        <x:f>H91+F92/$K$27</x:f>
        <x:v>0.055691082040337146</x:v>
      </x:c>
    </x:row>
    <x:row r="93">
      <x:c r="A93" s="2" t="n">
        <x:v>6.55</x:v>
      </x:c>
      <x:c r="B93" s="3" t="n">
        <x:f>E93/$K$27*0.25</x:f>
        <x:v>0.014191089062283882</x:v>
      </x:c>
      <x:c r="C93" s="3"/>
      <x:c r="D93" s="3"/>
      <x:c r="E93" t="n">
        <x:f>IF(A93&lt;10,EXP(-((LN(10-A93)-$K$33)^2)/(2*$K$34^2))/(10-A93),0)</x:f>
        <x:v>0.13463880574853893</x:v>
      </x:c>
      <x:c r="F93" t="n">
        <x:f>(E92+E93)*(A93-A92)/2</x:f>
        <x:v>0.0033389458354713655</x:v>
      </x:c>
      <x:c r="G93" t="n">
        <x:f>(A92*E92+A93*E93)*(A93-A92)/2</x:f>
        <x:v>0.021828696203247077</x:v>
      </x:c>
      <x:c r="H93" t="n">
        <x:f>H92+F93/$K$27</x:f>
        <x:v>0.05709879737060567</x:v>
      </x:c>
    </x:row>
    <x:row r="94">
      <x:c r="A94" s="2" t="n">
        <x:v>6.575</x:v>
      </x:c>
      <x:c r="B94" s="3" t="n">
        <x:f>E94/$K$27*0.25</x:f>
        <x:v>0.014423617213148115</x:v>
      </x:c>
      <x:c r="C94" s="3"/>
      <x:c r="D94" s="3"/>
      <x:c r="E94" t="n">
        <x:f>IF(A94&lt;10,EXP(-((LN(10-A94)-$K$33)^2)/(2*$K$34^2))/(10-A94),0)</x:f>
        <x:v>0.13684493047919705</x:v>
      </x:c>
      <x:c r="F94" t="n">
        <x:f>(E93+E94)*(A94-A93)/2</x:f>
        <x:v>0.0033935467028467477</x:v>
      </x:c>
      <x:c r="G94" t="n">
        <x:f>(A93*E93+A94*E94)*(A94-A93)/2</x:f>
        <x:v>0.02227049494442095</x:v>
      </x:c>
      <x:c r="H94" t="n">
        <x:f>H93+F94/$K$27</x:f>
        <x:v>0.05852953268437729</x:v>
      </x:c>
    </x:row>
    <x:row r="95">
      <x:c r="A95" s="2" t="n">
        <x:v>6.6</x:v>
      </x:c>
      <x:c r="B95" s="3" t="n">
        <x:f>E95/$K$27*0.25</x:f>
        <x:v>0.01466091707472058</x:v>
      </x:c>
      <x:c r="C95" s="3"/>
      <x:c r="D95" s="3"/>
      <x:c r="E95" t="n">
        <x:f>IF(A95&lt;10,EXP(-((LN(10-A95)-$K$33)^2)/(2*$K$34^2))/(10-A95),0)</x:f>
        <x:v>0.13909632710042777</x:v>
      </x:c>
      <x:c r="F95" t="n">
        <x:f>(E94+E95)*(A95-A94)/2</x:f>
        <x:v>0.003449265719745237</x:v>
      </x:c>
      <x:c r="G95" t="n">
        <x:f>(A94*E94+A95*E95)*(A95-A94)/2</x:f>
        <x:v>0.02272238970954381</x:v>
      </x:c>
      <x:c r="H95" t="n">
        <x:f>H94+F95/$K$27</x:f>
        <x:v>0.059983759398770695</x:v>
      </x:c>
    </x:row>
    <x:row r="96">
      <x:c r="A96" s="2" t="n">
        <x:v>6.625</x:v>
      </x:c>
      <x:c r="B96" s="3" t="n">
        <x:f>E96/$K$27*0.25</x:f>
        <x:v>0.014903107064894762</x:v>
      </x:c>
      <x:c r="C96" s="3"/>
      <x:c r="D96" s="3"/>
      <x:c r="E96" t="n">
        <x:f>IF(A96&lt;10,EXP(-((LN(10-A96)-$K$33)^2)/(2*$K$34^2))/(10-A96),0)</x:f>
        <x:v>0.14139411910907396</x:v>
      </x:c>
      <x:c r="F96" t="n">
        <x:f>(E95+E96)*(A96-A95)/2</x:f>
        <x:v>0.003506130577618821</x:v>
      </x:c>
      <x:c r="G96" t="n">
        <x:f>(A95*E95+A96*E96)*(A96-A95)/2</x:f>
        <x:v>0.023184647474505805</x:v>
      </x:c>
      <x:c r="H96" t="n">
        <x:f>H95+F96/$K$27</x:f>
        <x:v>0.06146196060575148</x:v>
      </x:c>
    </x:row>
    <x:row r="97">
      <x:c r="A97" s="2" t="n">
        <x:v>6.65</x:v>
      </x:c>
      <x:c r="B97" s="3" t="n">
        <x:f>E97/$K$27*0.25</x:f>
        <x:v>0.015150309051123785</x:v>
      </x:c>
      <x:c r="C97" s="3"/>
      <x:c r="D97" s="3"/>
      <x:c r="E97" t="n">
        <x:f>IF(A97&lt;10,EXP(-((LN(10-A97)-$K$33)^2)/(2*$K$34^2))/(10-A97),0)</x:f>
        <x:v>0.14373946272988172</x:v>
      </x:c>
      <x:c r="F97" t="n">
        <x:f>(E96+E97)*(A97-A96)/2</x:f>
        <x:v>0.0035641697729869963</x:v>
      </x:c>
      <x:c r="G97" t="n">
        <x:f>(A96*E96+A97*E97)*(A97-A96)/2</x:f>
        <x:v>0.023657543328141944</x:v>
      </x:c>
      <x:c r="H97" t="n">
        <x:f>H96+F97/$K$27</x:f>
        <x:v>0.06296463141155242</x:v>
      </x:c>
    </x:row>
    <x:row r="98">
      <x:c r="A98" s="2" t="n">
        <x:v>6.675</x:v>
      </x:c>
      <x:c r="B98" s="3" t="n">
        <x:f>E98/$K$27*0.25</x:f>
        <x:v>0.01540264846520893</x:v>
      </x:c>
      <x:c r="C98" s="3"/>
      <x:c r="D98" s="3"/>
      <x:c r="E98" t="n">
        <x:f>IF(A98&lt;10,EXP(-((LN(10-A98)-$K$33)^2)/(2*$K$34^2))/(10-A98),0)</x:f>
        <x:v>0.1461335480045634</x:v>
      </x:c>
      <x:c r="F98" t="n">
        <x:f>(E97+E98)*(A98-A97)/2</x:f>
        <x:v>0.003623412634180487</x:v>
      </x:c>
      <x:c r="G98" t="n">
        <x:f>(A97*E97+A98*E98)*(A98-A97)/2</x:f>
        <x:v>0.024141360751051662</x:v>
      </x:c>
      <x:c r="H98" t="n">
        <x:f>H97+F98/$K$27</x:f>
        <x:v>0.06449227928736903</x:v>
      </x:c>
    </x:row>
    <x:row r="99">
      <x:c r="A99" s="2" t="n">
        <x:v>6.7</x:v>
      </x:c>
      <x:c r="B99" s="3" t="n">
        <x:f>E99/$K$27*0.25</x:f>
        <x:v>0.0156602544223316</x:v>
      </x:c>
      <x:c r="C99" s="3"/>
      <x:c r="D99" s="3"/>
      <x:c r="E99" t="n">
        <x:f>IF(A99&lt;10,EXP(-((LN(10-A99)-$K$33)^2)/(2*$K$34^2))/(10-A99),0)</x:f>
        <x:v>0.14857759992112035</x:v>
      </x:c>
      <x:c r="F99" t="n">
        <x:f>(E98+E99)*(A99-A98)/2</x:f>
        <x:v>0.0036838893490710994</x:v>
      </x:c>
      <x:c r="G99" t="n">
        <x:f>(A98*E98+A99*E99)*(A99-A98)/2</x:f>
        <x:v>0.02463639190502494</x:v>
      </x:c>
      <x:c r="H99" t="n">
        <x:f>H98+F99/$K$27</x:f>
        <x:v>0.06604542443174607</x:v>
      </x:c>
    </x:row>
    <x:row r="100">
      <x:c r="A100" s="2" t="n">
        <x:v>6.725</x:v>
      </x:c>
      <x:c r="B100" s="3" t="n">
        <x:f>E100/$K$27*0.25</x:f>
        <x:v>0.01592325984449695</x:v>
      </x:c>
      <x:c r="C100" s="3"/>
      <x:c r="D100" s="3"/>
      <x:c r="E100" t="n">
        <x:f>IF(A100&lt;10,EXP(-((LN(10-A100)-$K$33)^2)/(2*$K$34^2))/(10-A100),0)</x:f>
        <x:v>0.15107287958502194</x:v>
      </x:c>
      <x:c r="F100" t="n">
        <x:f>(E99+E100)*(A100-A99)/2</x:f>
        <x:v>0.003745630993826699</x:v>
      </x:c>
      <x:c r="G100" t="n">
        <x:f>(A99*E99+A100*E100)*(A100-A99)/2</x:f>
        <x:v>0.025142937933509198</x:v>
      </x:c>
      <x:c r="H100" t="n">
        <x:f>H99+F100/$K$27</x:f>
        <x:v>0.06762460014508746</x:v>
      </x:c>
    </x:row>
    <x:row r="101">
      <x:c r="A101" s="2" t="n">
        <x:v>6.75</x:v>
      </x:c>
      <x:c r="B101" s="3" t="n">
        <x:f>E101/$K$27*0.25</x:f>
        <x:v>0.016191801588564685</x:v>
      </x:c>
      <x:c r="C101" s="3"/>
      <x:c r="D101" s="3"/>
      <x:c r="E101" t="n">
        <x:f>IF(A101&lt;10,EXP(-((LN(10-A101)-$K$33)^2)/(2*$K$34^2))/(10-A101),0)</x:f>
        <x:v>0.15362068543390517</x:v>
      </x:c>
      <x:c r="F101" t="n">
        <x:f>(E100+E101)*(A101-A100)/2</x:f>
        <x:v>0.0038086695627366426</x:v>
      </x:c>
      <x:c r="G101" t="n">
        <x:f>(A100*E100+A101*E101)*(A101-A100)/2</x:f>
        <x:v>0.025661309273602023</x:v>
      </x:c>
      <x:c r="H101" t="n">
        <x:f>H100+F101/$K$27</x:f>
        <x:v>0.06923035321674056</x:v>
      </x:c>
    </x:row>
    <x:row r="102">
      <x:c r="A102" s="2" t="n">
        <x:v>6.775</x:v>
      </x:c>
      <x:c r="B102" s="3" t="n">
        <x:f>E102/$K$27*0.25</x:f>
        <x:v>0.016466020579048824</x:v>
      </x:c>
      <x:c r="C102" s="3"/>
      <x:c r="D102" s="3"/>
      <x:c r="E102" t="n">
        <x:f>IF(A102&lt;10,EXP(-((LN(10-A102)-$K$33)^2)/(2*$K$34^2))/(10-A102),0)</x:f>
        <x:v>0.15622235449752053</x:v>
      </x:c>
      <x:c r="F102" t="n">
        <x:f>(E101+E102)*(A102-A101)/2</x:f>
        <x:v>0.0038730379991428763</x:v>
      </x:c>
      <x:c r="G102" t="n">
        <x:f>(A101*E101+A102*E102)*(A102-A101)/2</x:f>
        <x:v>0.026191825979994893</x:v>
      </x:c>
      <x:c r="H102" t="n">
        <x:f>H101+F102/$K$27</x:f>
        <x:v>0.07086324432512127</x:v>
      </x:c>
    </x:row>
    <x:row r="103">
      <x:c r="A103" s="2" t="n">
        <x:v>6.8</x:v>
      </x:c>
      <x:c r="B103" s="3" t="n">
        <x:f>E103/$K$27*0.25</x:f>
        <x:v>0.016746061945876193</x:v>
      </x:c>
      <x:c r="C103" s="3"/>
      <x:c r="D103" s="3"/>
      <x:c r="E103" t="n">
        <x:f>IF(A103&lt;10,EXP(-((LN(10-A103)-$K$33)^2)/(2*$K$34^2))/(10-A103),0)</x:f>
        <x:v>0.15887926370472394</x:v>
      </x:c>
      <x:c r="F103" t="n">
        <x:f>(E102+E103)*(A103-A102)/2</x:f>
        <x:v>0.003938770227527972</x:v>
      </x:c>
      <x:c r="G103" t="n">
        <x:f>(A102*E102+A103*E103)*(A103-A102)/2</x:f>
        <x:v>0.026734818061409735</x:v>
      </x:c>
      <x:c r="H103" t="n">
        <x:f>H102+F103/$K$27</x:f>
        <x:v>0.07252384845136749</x:v>
      </x:c>
    </x:row>
    <x:row r="104">
      <x:c r="A104" s="2" t="n">
        <x:v>6.825</x:v>
      </x:c>
      <x:c r="B104" s="3" t="n">
        <x:f>E104/$K$27*0.25</x:f>
        <x:v>0.01703207516730051</x:v>
      </x:c>
      <x:c r="C104" s="3"/>
      <x:c r="D104" s="3"/>
      <x:c r="E104" t="n">
        <x:f>IF(A104&lt;10,EXP(-((LN(10-A104)-$K$33)^2)/(2*$K$34^2))/(10-A104),0)</x:f>
        <x:v>0.16159283123938256</x:v>
      </x:c>
      <x:c r="F104" t="n">
        <x:f>(E103+E104)*(A104-A103)/2</x:f>
        <x:v>0.004005901186801388</x:v>
      </x:c>
      <x:c r="G104" t="n">
        <x:f>(A103*E103+A104*E104)*(A104-A103)/2</x:f>
        <x:v>0.02729062583001175</x:v>
      </x:c>
      <x:c r="H104" t="n">
        <x:f>H103+F104/$K$27</x:f>
        <x:v>0.07421275530702634</x:v>
      </x:c>
    </x:row>
    <x:row r="105">
      <x:c r="A105" s="2" t="n">
        <x:v>6.85</x:v>
      </x:c>
      <x:c r="B105" s="3" t="n">
        <x:f>E105/$K$27*0.25</x:f>
        <x:v>0.017324214218176662</x:v>
      </x:c>
      <x:c r="C105" s="3"/>
      <x:c r="D105" s="3"/>
      <x:c r="E105" t="n">
        <x:f>IF(A105&lt;10,EXP(-((LN(10-A105)-$K$33)^2)/(2*$K$34^2))/(10-A105),0)</x:f>
        <x:v>0.16436451794713594</x:v>
      </x:c>
      <x:c r="F105" t="n">
        <x:f>(E104+E105)*(A105-A104)/2</x:f>
        <x:v>0.0040744668648313945</x:v>
      </x:c>
      <x:c r="G105" t="n">
        <x:f>(A104*E104+A105*E105)*(A105-A104)/2</x:f>
        <x:v>0.027859600264332745</x:v>
      </x:c>
      <x:c r="H105" t="n">
        <x:f>H104+F105/$K$27</x:f>
        <x:v>0.07593056977630017</x:v>
      </x:c>
    </x:row>
    <x:row r="106">
      <x:c r="A106" s="2" t="n">
        <x:v>6.875</x:v>
      </x:c>
      <x:c r="B106" s="3" t="n">
        <x:f>E106/$K$27*0.25</x:f>
        <x:v>0.01762263772380815</x:v>
      </x:c>
      <x:c r="C106" s="3"/>
      <x:c r="D106" s="3"/>
      <x:c r="E106" t="n">
        <x:f>IF(A106&lt;10,EXP(-((LN(10-A106)-$K$33)^2)/(2*$K$34^2))/(10-A106),0)</x:f>
        <x:v>0.16719582879503286</x:v>
      </x:c>
      <x:c r="F106" t="n">
        <x:f>(E105+E106)*(A106-A105)/2</x:f>
        <x:v>0.0041445043342771696</x:v>
      </x:c>
      <x:c r="G106" t="n">
        <x:f>(A105*E105+A106*E106)*(A106-A105)/2</x:f>
        <x:v>0.02844210338629705</x:v>
      </x:c>
      <x:c r="H106" t="n">
        <x:f>H105+F106/$K$27</x:f>
        <x:v>0.07767791237339944</x:v>
      </x:c>
    </x:row>
    <x:row r="107">
      <x:c r="A107" s="2" t="n">
        <x:v>6.9</x:v>
      </x:c>
      <x:c r="B107" s="3" t="n">
        <x:f>E107/$K$27*0.25</x:f>
        <x:v>0.017927509119588448</x:v>
      </x:c>
      <x:c r="C107" s="3"/>
      <x:c r="D107" s="3"/>
      <x:c r="E107" t="n">
        <x:f>IF(A107&lt;10,EXP(-((LN(10-A107)-$K$33)^2)/(2*$K$34^2))/(10-A107),0)</x:f>
        <x:v>0.17008831438613828</x:v>
      </x:c>
      <x:c r="F107" t="n">
        <x:f>(E106+E107)*(A107-A106)/2</x:f>
        <x:v>0.004216051789764699</x:v>
      </x:c>
      <x:c r="G107" t="n">
        <x:f>(A106*E106+A107*E107)*(A107-A106)/2</x:f>
        <x:v>0.02903850865287797</x:v>
      </x:c>
      <x:c r="H107" t="n">
        <x:f>H106+F107/$K$27</x:f>
        <x:v>0.0794554197155693</x:v>
      </x:c>
    </x:row>
    <x:row r="108">
      <x:c r="A108" s="2" t="n">
        <x:v>6.925</x:v>
      </x:c>
      <x:c r="B108" s="3" t="n">
        <x:f>E108/$K$27*0.25</x:f>
        <x:v>0.01823899681666595</x:v>
      </x:c>
      <x:c r="C108" s="3"/>
      <x:c r="D108" s="3"/>
      <x:c r="E108" t="n">
        <x:f>IF(A108&lt;10,EXP(-((LN(10-A108)-$K$33)^2)/(2*$K$34^2))/(10-A108),0)</x:f>
        <x:v>0.17304357253128927</x:v>
      </x:c>
      <x:c r="F108" t="n">
        <x:f>(E107+E108)*(A108-A107)/2</x:f>
        <x:v>0.004289148586467753</x:v>
      </x:c>
      <x:c r="G108" t="n">
        <x:f>(A107*E107+A108*E108)*(A108-A107)/2</x:f>
        <x:v>0.029649201363043522</x:v>
      </x:c>
      <x:c r="H108" t="n">
        <x:f>H107+F108/$K$27</x:f>
        <x:v>0.08126374501238198</x:v>
      </x:c>
    </x:row>
    <x:row r="109">
      <x:c r="A109" s="2" t="n">
        <x:v>6.95</x:v>
      </x:c>
      <x:c r="B109" s="3" t="n">
        <x:f>E109/$K$27*0.25</x:f>
        <x:v>0.018557274373870596</x:v>
      </x:c>
      <x:c r="C109" s="3"/>
      <x:c r="D109" s="3"/>
      <x:c r="E109" t="n">
        <x:f>IF(A109&lt;10,EXP(-((LN(10-A109)-$K$33)^2)/(2*$K$34^2))/(10-A109),0)</x:f>
        <x:v>0.17606324988025934</x:v>
      </x:c>
      <x:c r="F109" t="n">
        <x:f>(E108+E109)*(A109-A108)/2</x:f>
        <x:v>0.00436383528014442</x:v>
      </x:c>
      <x:c r="G109" t="n">
        <x:f>(A108*E108+A109*E109)*(A109-A108)/2</x:f>
        <x:v>0.030274579080587692</x:v>
      </x:c>
      <x:c r="H109" t="n">
        <x:f>H108+F109/$K$27</x:f>
        <x:v>0.08310355857190883</x:v>
      </x:c>
    </x:row>
    <x:row r="110">
      <x:c r="A110" s="2" t="n">
        <x:v>6.975</x:v>
      </x:c>
      <x:c r="B110" s="3" t="n">
        <x:f>E110/$K$27*0.25</x:f>
        <x:v>0.01888252067614923</x:v>
      </x:c>
      <x:c r="C110" s="3"/>
      <x:c r="D110" s="3"/>
      <x:c r="E110" t="n">
        <x:f>IF(A110&lt;10,EXP(-((LN(10-A110)-$K$33)^2)/(2*$K$34^2))/(10-A110),0)</x:f>
        <x:v>0.17914904361467454</x:v>
      </x:c>
      <x:c r="F110" t="n">
        <x:f>(E109+E110)*(A110-A109)/2</x:f>
        <x:v>0.004440153668686579</x:v>
      </x:c>
      <x:c r="G110" t="n">
        <x:f>(A109*E109+A110*E110)*(A110-A109)/2</x:f>
        <x:v>0.03091505207350131</x:v>
      </x:c>
      <x:c r="H110" t="n">
        <x:f>H109+F110/$K$27</x:f>
        <x:v>0.08497554832440979</x:v>
      </x:c>
    </x:row>
    <x:row r="111">
      <x:c r="A111" s="2" t="n">
        <x:v>7</x:v>
      </x:c>
      <x:c r="B111" s="3" t="n">
        <x:f>E111/$K$27*0.25</x:f>
        <x:v>0.019214920119766343</x:v>
      </x:c>
      <x:c r="C111" s="3"/>
      <x:c r="D111" s="3"/>
      <x:c r="E111" t="n">
        <x:f>IF(A111&lt;10,EXP(-((LN(10-A111)-$K$33)^2)/(2*$K$34^2))/(10-A111),0)</x:f>
        <x:v>0.18230270320511643</x:v>
      </x:c>
      <x:c r="F111" t="n">
        <x:f>(E110+E111)*(A111-A110)/2</x:f>
        <x:v>0.004518146835247452</x:v>
      </x:c>
      <x:c r="G111" t="n">
        <x:f>(A110*E110+A111*E111)*(A111-A110)/2</x:f>
        <x:v>0.031571043770602575</x:v>
      </x:c>
      <x:c r="H111" t="n">
        <x:f>H110+F111/$K$27</x:f>
        <x:v>0.0868804203642056</x:v>
      </x:c>
    </x:row>
    <x:row r="112">
      <x:c r="A112" s="2" t="n">
        <x:v>7.025</x:v>
      </x:c>
      <x:c r="B112" s="3" t="n">
        <x:f>E112/$K$27*0.25</x:f>
        <x:v>0.019554662804535394</x:v>
      </x:c>
      <x:c r="C112" s="3"/>
      <x:c r="D112" s="3"/>
      <x:c r="E112" t="n">
        <x:f>IF(A112&lt;10,EXP(-((LN(10-A112)-$K$33)^2)/(2*$K$34^2))/(10-A112),0)</x:f>
        <x:v>0.18552603223492847</x:v>
      </x:c>
      <x:c r="F112" t="n">
        <x:f>(E111+E112)*(A112-A111)/2</x:f>
        <x:v>0.004597859193000627</x:v>
      </x:c>
      <x:c r="G112" t="n">
        <x:f>(A111*E111+A112*E112)*(A112-A111)/2</x:f>
        <x:v>0.0322429912360778</x:v>
      </x:c>
      <x:c r="H112" t="n">
        <x:f>H111+F112/$K$27</x:f>
        <x:v>0.08881889951042071</x:v>
      </x:c>
    </x:row>
    <x:row r="113">
      <x:c r="A113" s="2" t="n">
        <x:v>7.05</x:v>
      </x:c>
      <x:c r="B113" s="3" t="n">
        <x:f>E113/$K$27*0.25</x:f>
        <x:v>0.019901944733356415</x:v>
      </x:c>
      <x:c r="C113" s="3"/>
      <x:c r="D113" s="3"/>
      <x:c r="E113" t="n">
        <x:f>IF(A113&lt;10,EXP(-((LN(10-A113)-$K$33)^2)/(2*$K$34^2))/(10-A113),0)</x:f>
        <x:v>0.18882089029334068</x:v>
      </x:c>
      <x:c r="F113" t="n">
        <x:f>(E112+E113)*(A113-A112)/2</x:f>
        <x:v>0.004679336531603265</x:v>
      </x:c>
      <x:c r="G113" t="n">
        <x:f>(A112*E112+A113*E113)*(A113-A112)/2</x:f>
        <x:v>0.0329313456627296</x:v>
      </x:c>
      <x:c r="H113" t="n">
        <x:f>H112+F113/$K$27</x:f>
        <x:v>0.09079172988731526</x:v>
      </x:c>
    </x:row>
    <x:row r="114">
      <x:c r="A114" s="2" t="n">
        <x:v>7.075</x:v>
      </x:c>
      <x:c r="B114" s="3" t="n">
        <x:f>E114/$K$27*0.25</x:f>
        <x:v>0.020256968019344505</x:v>
      </x:c>
      <x:c r="C114" s="3"/>
      <x:c r="D114" s="3"/>
      <x:c r="E114" t="n">
        <x:f>IF(A114&lt;10,EXP(-((LN(10-A114)-$K$33)^2)/(2*$K$34^2))/(10-A114),0)</x:f>
        <x:v>0.19218919494061384</x:v>
      </x:c>
      <x:c r="F114" t="n">
        <x:f>(E113+E114)*(A114-A113)/2</x:f>
        <x:v>0.004762626065424499</x:v>
      </x:c>
      <x:c r="G114" t="n">
        <x:f>(A113*E113+A114*E114)*(A114-A113)/2</x:f>
        <x:v>0.03363657288466167</x:v>
      </x:c>
      <x:c r="H114" t="n">
        <x:f>H113+F114/$K$27</x:f>
        <x:v>0.09279967552495035</x:v>
      </x:c>
    </x:row>
    <x:row r="115">
      <x:c r="A115" s="2" t="n">
        <x:v>7.1</x:v>
      </x:c>
      <x:c r="B115" s="3" t="n">
        <x:f>E115/$K$27*0.25</x:f>
        <x:v>0.020619941100844048</x:v>
      </x:c>
      <x:c r="C115" s="3"/>
      <x:c r="D115" s="3"/>
      <x:c r="E115" t="n">
        <x:f>IF(A115&lt;10,EXP(-((LN(10-A115)-$K$33)^2)/(2*$K$34^2))/(10-A115),0)</x:f>
        <x:v>0.19563292374799973</x:v>
      </x:c>
      <x:c r="F115" t="n">
        <x:f>(E114+E115)*(A115-A114)/2</x:f>
        <x:v>0.004847776483607567</x:v>
      </x:c>
      <x:c r="G115" t="n">
        <x:f>(A114*E114+A115*E115)*(A115-A114)/2</x:f>
        <x:v>0.034359153910194784</x:v>
      </x:c>
      <x:c r="H115" t="n">
        <x:f>H114+F115/$K$27</x:f>
        <x:v>0.09484352098095973</x:v>
      </x:c>
    </x:row>
    <x:row r="116">
      <x:c r="A116" s="2" t="n">
        <x:v>7.125</x:v>
      </x:c>
      <x:c r="B116" s="3" t="n">
        <x:f>E116/$K$27*0.25</x:f>
        <x:v>0.0209910789646335</x:v>
      </x:c>
      <x:c r="C116" s="3"/>
      <x:c r="D116" s="3"/>
      <x:c r="E116" t="n">
        <x:f>IF(A116&lt;10,EXP(-((LN(10-A116)-$K$33)^2)/(2*$K$34^2))/(10-A116),0)</x:f>
        <x:v>0.1991541164154097</x:v>
      </x:c>
      <x:c r="F116" t="n">
        <x:f>(E115+E116)*(A116-A115)/2</x:f>
        <x:v>0.004934838002042688</x:v>
      </x:c>
      <x:c r="G116" t="n">
        <x:f>(A115*E115+A116*E116)*(A116-A115)/2</x:f>
        <x:v>0.0350995854758829</x:v>
      </x:c>
      <x:c r="H116" t="n">
        <x:f>H115+F116/$K$27</x:f>
        <x:v>0.09692407198423364</x:v>
      </x:c>
    </x:row>
    <x:row r="117">
      <x:c r="A117" s="2" t="n">
        <x:v>7.15</x:v>
      </x:c>
      <x:c r="B117" s="3" t="n">
        <x:f>E117/$K$27*0.25</x:f>
        <x:v>0.02137060337763511</x:v>
      </x:c>
      <x:c r="C117" s="3"/>
      <x:c r="D117" s="3"/>
      <x:c r="E117" t="n">
        <x:f>IF(A117&lt;10,EXP(-((LN(10-A117)-$K$33)^2)/(2*$K$34^2))/(10-A117),0)</x:f>
        <x:v>0.20275487696977465</x:v>
      </x:c>
      <x:c r="F117" t="n">
        <x:f>(E116+E117)*(A117-A116)/2</x:f>
        <x:v>0.005023862417314876</x:v>
      </x:c>
      <x:c r="G117" t="n">
        <x:f>(A116*E116+A117*E117)*(A117-A116)/2</x:f>
        <x:v>0.03585838062242155</x:v>
      </x:c>
      <x:c r="H117" t="n">
        <x:f>H116+F117/$K$27</x:f>
        <x:v>0.0990421561013471</x:v>
      </x:c>
    </x:row>
    <x:row r="118">
      <x:c r="A118" s="2" t="n">
        <x:v>7.175</x:v>
      </x:c>
      <x:c r="B118" s="3" t="n">
        <x:f>E118/$K$27*0.25</x:f>
        <x:v>0.021758743127454544</x:v>
      </x:c>
      <x:c r="C118" s="3"/>
      <x:c r="D118" s="3"/>
      <x:c r="E118" t="n">
        <x:f>IF(A118&lt;10,EXP(-((LN(10-A118)-$K$33)^2)/(2*$K$34^2))/(10-A118),0)</x:f>
        <x:v>0.20643737604717913</x:v>
      </x:c>
      <x:c r="F118" t="n">
        <x:f>(E117+E118)*(A118-A117)/2</x:f>
        <x:v>0.005114903162711813</x:v>
      </x:c>
      <x:c r="G118" t="n">
        <x:f>(A117*E117+A118*E118)*(A118-A117)/2</x:f>
        <x:v>0.036636069293404204</x:v>
      </x:c>
      <x:c r="H118" t="n">
        <x:f>H117+F118/$K$27</x:f>
        <x:v>0.10119862342660155</x:v>
      </x:c>
    </x:row>
    <x:row r="119">
      <x:c r="A119" s="2" t="n">
        <x:v>7.2</x:v>
      </x:c>
      <x:c r="B119" s="3" t="n">
        <x:f>E119/$K$27*0.25</x:f>
        <x:v>0.022155734272084924</x:v>
      </x:c>
      <x:c r="C119" s="3"/>
      <x:c r="D119" s="3"/>
      <x:c r="E119" t="n">
        <x:f>IF(A119&lt;10,EXP(-((LN(10-A119)-$K$33)^2)/(2*$K$34^2))/(10-A119),0)</x:f>
        <x:v>0.2102038532619432</x:v>
      </x:c>
      <x:c r="F119" t="n">
        <x:f>(E118+E119)*(A119-A118)/2</x:f>
        <x:v>0.005208015366364103</x:v>
      </x:c>
      <x:c r="G119" t="n">
        <x:f>(A118*E118+A119*E119)*(A119-A118)/2</x:f>
        <x:v>0.0374331989578068</x:v>
      </x:c>
      <x:c r="H119" t="n">
        <x:f>H118+F119/$K$27</x:f>
        <x:v>0.10339434729657855</x:v>
      </x:c>
    </x:row>
    <x:row r="120">
      <x:c r="A120" s="2" t="n">
        <x:v>7.225</x:v>
      </x:c>
      <x:c r="B120" s="3" t="n">
        <x:f>E120/$K$27*0.25</x:f>
        <x:v>0.022561820399119394</x:v>
      </x:c>
      <x:c r="C120" s="3"/>
      <x:c r="D120" s="3"/>
      <x:c r="E120" t="n">
        <x:f>IF(A120&lt;10,EXP(-((LN(10-A120)-$K$33)^2)/(2*$K$34^2))/(10-A120),0)</x:f>
        <x:v>0.21405661966591724</x:v>
      </x:c>
      <x:c r="F120" t="n">
        <x:f>(E119+E120)*(A120-A119)/2</x:f>
        <x:v>0.005303255911598142</x:v>
      </x:c>
      <x:c r="G120" t="n">
        <x:f>(A119*E119+A120*E120)*(A120-A119)/2</x:f>
        <x:v>0.038250335257152226</x:v>
      </x:c>
      <x:c r="H120" t="n">
        <x:f>H119+F120/$K$27</x:f>
        <x:v>0.10563022503013872</x:v>
      </x:c>
    </x:row>
    <x:row r="121">
      <x:c r="A121" s="2" t="n">
        <x:v>7.25</x:v>
      </x:c>
      <x:c r="B121" s="3" t="n">
        <x:f>E121/$K$27*0.25</x:f>
        <x:v>0.022977252894826813</x:v>
      </x:c>
      <x:c r="C121" s="3"/>
      <x:c r="D121" s="3"/>
      <x:c r="E121" t="n">
        <x:f>IF(A121&lt;10,EXP(-((LN(10-A121)-$K$33)^2)/(2*$K$34^2))/(10-A121),0)</x:f>
        <x:v>0.21799806030135357</x:v>
      </x:c>
      <x:c r="F121" t="n">
        <x:f>(E120+E121)*(A121-A120)/2</x:f>
        <x:v>0.005400683499590962</x:v>
      </x:c>
      <x:c r="G121" t="n">
        <x:f>(A120*E120+A121*E121)*(A121-A120)/2</x:f>
        <x:v>0.03908806267838887</x:v>
      </x:c>
      <x:c r="H121" t="n">
        <x:f>H120+F121/$K$27</x:f>
        <x:v>0.10790717869483606</x:v>
      </x:c>
    </x:row>
    <x:row r="122">
      <x:c r="A122" s="2" t="n">
        <x:v>7.275</x:v>
      </x:c>
      <x:c r="B122" s="3" t="n">
        <x:f>E122/$K$27*0.25</x:f>
        <x:v>0.02340229122345326</x:v>
      </x:c>
      <x:c r="C122" s="3"/>
      <x:c r="D122" s="3"/>
      <x:c r="E122" t="n">
        <x:f>IF(A122&lt;10,EXP(-((LN(10-A122)-$K$33)^2)/(2*$K$34^2))/(10-A122),0)</x:f>
        <x:v>0.22203063685079635</x:v>
      </x:c>
      <x:c r="F122" t="n">
        <x:f>(E121+E122)*(A122-A121)/2</x:f>
        <x:v>0.005500358714401952</x:v>
      </x:c>
      <x:c r="G122" t="n">
        <x:f>(A121*E121+A122*E122)*(A122-A121)/2</x:f>
        <x:v>0.03994698525343003</x:v>
      </x:c>
      <x:c r="H122" t="n">
        <x:f>H121+F122/$K$27</x:f>
        <x:v>0.11022615590075009</x:v>
      </x:c>
    </x:row>
    <x:row r="123">
      <x:c r="A123" s="2" t="n">
        <x:v>7.3</x:v>
      </x:c>
      <x:c r="B123" s="3" t="n">
        <x:f>E123/$K$27*0.25</x:f>
        <x:v>0.023837203217122155</x:v>
      </x:c>
      <x:c r="C123" s="3"/>
      <x:c r="D123" s="3"/>
      <x:c r="E123" t="n">
        <x:f>IF(A123&lt;10,EXP(-((LN(10-A123)-$K$33)^2)/(2*$K$34^2))/(10-A123),0)</x:f>
        <x:v>0.22615689038752612</x:v>
      </x:c>
      <x:c r="F123" t="n">
        <x:f>(E122+E123)*(A123-A122)/2</x:f>
        <x:v>0.005602344090478911</x:v>
      </x:c>
      <x:c r="G123" t="n">
        <x:f>(A122*E122+A123*E123)*(A123-A122)/2</x:f>
        <x:v>0.04082772728648018</x:v>
      </x:c>
      <x:c r="H123" t="n">
        <x:f>H122+F123/$K$27</x:f>
        <x:v>0.11258813062277881</x:v>
      </x:c>
    </x:row>
    <x:row r="124">
      <x:c r="A124" s="2" t="n">
        <x:v>7.325</x:v>
      </x:c>
      <x:c r="B124" s="3" t="n">
        <x:f>E124/$K$27*0.25</x:f>
        <x:v>0.024282265376713356</x:v>
      </x:c>
      <x:c r="C124" s="3"/>
      <x:c r="D124" s="3"/>
      <x:c r="E124" t="n">
        <x:f>IF(A124&lt;10,EXP(-((LN(10-A124)-$K$33)^2)/(2*$K$34^2))/(10-A124),0)</x:f>
        <x:v>0.23037944423016835</x:v>
      </x:c>
      <x:c r="F124" t="n">
        <x:f>(E123+E124)*(A124-A123)/2</x:f>
        <x:v>0.0057067041827212625</x:v>
      </x:c>
      <x:c r="G124" t="n">
        <x:f>(A123*E123+A124*E124)*(A124-A123)/2</x:f>
        <x:v>0.04173093411018714</x:v>
      </x:c>
      <x:c r="H124" t="n">
        <x:f>H123+F124/$K$27</x:f>
        <x:v>0.11499410405247062</x:v>
      </x:c>
    </x:row>
    <x:row r="125">
      <x:c r="A125" s="2" t="n">
        <x:v>7.35</x:v>
      </x:c>
      <x:c r="B125" s="3" t="n">
        <x:f>E125/$K$27*0.25</x:f>
        <x:v>0.0247377631841095</x:v>
      </x:c>
      <x:c r="C125" s="3"/>
      <x:c r="D125" s="3"/>
      <x:c r="E125" t="n">
        <x:f>IF(A125&lt;10,EXP(-((LN(10-A125)-$K$33)^2)/(2*$K$34^2))/(10-A125),0)</x:f>
        <x:v>0.23470100690514922</x:v>
      </x:c>
      <x:c r="F125" t="n">
        <x:f>(E124+E125)*(A125-A124)/2</x:f>
        <x:v>0.005813505639191346</x:v>
      </x:c>
      <x:c r="G125" t="n">
        <x:f>(A124*E124+A125*E125)*(A125-A124)/2</x:f>
        <x:v>0.042657272871734465</x:v>
      </x:c>
      <x:c r="H125" t="n">
        <x:f>H124+F125/$K$27</x:f>
        <x:v>0.11744510548051172</x:v>
      </x:c>
    </x:row>
    <x:row r="126">
      <x:c r="A126" s="2" t="n">
        <x:v>7.375</x:v>
      </x:c>
      <x:c r="B126" s="3" t="n">
        <x:f>E126/$K$27*0.25</x:f>
        <x:v>0.025203991426205188</x:v>
      </x:c>
      <x:c r="C126" s="3"/>
      <x:c r="D126" s="3"/>
      <x:c r="E126" t="n">
        <x:f>IF(A126&lt;10,EXP(-((LN(10-A126)-$K$33)^2)/(2*$K$34^2))/(10-A126),0)</x:f>
        <x:v>0.239124375220752</x:v>
      </x:c>
      <x:c r="F126" t="n">
        <x:f>(E125+E126)*(A126-A125)/2</x:f>
        <x:v>0.005922817276573849</x:v>
      </x:c>
      <x:c r="G126" t="n">
        <x:f>(A125*E125+A126*E126)*(A126-A125)/2</x:f>
        <x:v>0.04360743335007428</x:v>
      </x:c>
      <x:c r="H126" t="n">
        <x:f>H125+F126/$K$27</x:f>
        <x:v>0.11994219321102749</x:v>
      </x:c>
    </x:row>
    <x:row r="127">
      <x:c r="A127" s="2" t="n">
        <x:v>7.4</x:v>
      </x:c>
      <x:c r="B127" s="3" t="n">
        <x:f>E127/$K$27*0.25</x:f>
        <x:v>0.025681254531079428</x:v>
      </x:c>
      <x:c r="C127" s="3"/>
      <x:c r="D127" s="3"/>
      <x:c r="E127" t="n">
        <x:f>IF(A127&lt;10,EXP(-((LN(10-A127)-$K$33)^2)/(2*$K$34^2))/(10-A127),0)</x:f>
        <x:v>0.24365243745657353</x:v>
      </x:c>
      <x:c r="F127" t="n">
        <x:f>(E126+E127)*(A127-A126)/2</x:f>
        <x:v>0.006034710158466655</x:v>
      </x:c>
      <x:c r="G127" t="n">
        <x:f>(A126*E126+A127*E127)*(A127-A126)/2</x:f>
        <x:v>0.04458212880539676</x:v>
      </x:c>
      <x:c r="H127" t="n">
        <x:f>H126+F127/$K$27</x:f>
        <x:v>0.12248645550889176</x:v>
      </x:c>
    </x:row>
    <x:row r="128">
      <x:c r="A128" s="2" t="n">
        <x:v>7.425</x:v>
      </x:c>
      <x:c r="B128" s="3" t="n">
        <x:f>E128/$K$27*0.25</x:f>
        <x:v>0.026169866916737547</x:v>
      </x:c>
      <x:c r="C128" s="3"/>
      <x:c r="D128" s="3"/>
      <x:c r="E128" t="n">
        <x:f>IF(A128&lt;10,EXP(-((LN(10-A128)-$K$33)^2)/(2*$K$34^2))/(10-A128),0)</x:f>
        <x:v>0.24828817667223357</x:v>
      </x:c>
      <x:c r="F128" t="n">
        <x:f>(E127+E128)*(A128-A127)/2</x:f>
        <x:v>0.006149257676609957</x:v>
      </x:c>
      <x:c r="G128" t="n">
        <x:f>(A127*E127+A128*E128)*(A128-A127)/2</x:f>
        <x:v>0.045582096862123764</x:v>
      </x:c>
      <x:c r="H128" t="n">
        <x:f>H127+F128/$K$27</x:f>
        <x:v>0.12507901158128254</x:v>
      </x:c>
    </x:row>
    <x:row r="129">
      <x:c r="A129" s="2" t="n">
        <x:v>7.45</x:v>
      </x:c>
      <x:c r="B129" s="3" t="n">
        <x:f>E129/$K$27*0.25</x:f>
        <x:v>0.02667015335283074</x:v>
      </x:c>
      <x:c r="C129" s="3"/>
      <x:c r="D129" s="3"/>
      <x:c r="E129" t="n">
        <x:f>IF(A129&lt;10,EXP(-((LN(10-A129)-$K$33)^2)/(2*$K$34^2))/(10-A129),0)</x:f>
        <x:v>0.2530346741392109</x:v>
      </x:c>
      <x:c r="F129" t="n">
        <x:f>(E128+E129)*(A129-A128)/2</x:f>
        <x:v>0.006266535635143145</x:v>
      </x:c>
      <x:c r="G129" t="n">
        <x:f>(A128*E128+A129*E129)*(A129-A128)/2</x:f>
        <x:v>0.046608100426606354</x:v>
      </x:c>
      <x:c r="H129" t="n">
        <x:f>H128+F129/$K$27</x:f>
        <x:v>0.12772101259476099</x:v>
      </x:c>
    </x:row>
    <x:row r="130">
      <x:c r="A130" s="2" t="n">
        <x:v>7.475</x:v>
      </x:c>
      <x:c r="B130" s="3" t="n">
        <x:f>E130/$K$27*0.25</x:f>
        <x:v>0.027182449335762922</x:v>
      </x:c>
      <x:c r="C130" s="3"/>
      <x:c r="D130" s="3"/>
      <x:c r="E130" t="n">
        <x:f>IF(A130&lt;10,EXP(-((LN(10-A130)-$K$33)^2)/(2*$K$34^2))/(10-A130),0)</x:f>
        <x:v>0.2578951128996919</x:v>
      </x:c>
      <x:c r="F130" t="n">
        <x:f>(E129+E130)*(A130-A129)/2</x:f>
        <x:v>0.006386622337986148</x:v>
      </x:c>
      <x:c r="G130" t="n">
        <x:f>(A129*E129+A130*E130)*(A130-A129)/2</x:f>
        <x:v>0.047660928640777964</x:v>
      </x:c>
      <x:c r="H130" t="n">
        <x:f>H129+F130/$K$27</x:f>
        <x:v>0.13041364272919062</x:v>
      </x:c>
    </x:row>
    <x:row r="131">
      <x:c r="A131" s="2" t="n">
        <x:v>7.5</x:v>
      </x:c>
      <x:c r="B131" s="3" t="n">
        <x:f>E131/$K$27*0.25</x:f>
        <x:v>0.027707101477594157</x:v>
      </x:c>
      <x:c r="C131" s="3"/>
      <x:c r="D131" s="3"/>
      <x:c r="E131" t="n">
        <x:f>IF(A131&lt;10,EXP(-((LN(10-A131)-$K$33)^2)/(2*$K$34^2))/(10-A131),0)</x:f>
        <x:v>0.26287278145631515</x:v>
      </x:c>
      <x:c r="F131" t="n">
        <x:f>(E130+E131)*(A131-A130)/2</x:f>
        <x:v>0.00650959867945018</x:v>
      </x:c>
      <x:c r="G131" t="n">
        <x:f>(A130*E130+A131*E131)*(A131-A130)/2</x:f>
        <x:v>0.0487413978730952</x:v>
      </x:c>
      <x:c r="H131" t="n">
        <x:f>H130+F131/$K$27</x:f>
        <x:v>0.13315812026985852</x:v>
      </x:c>
    </x:row>
    <x:row r="132">
      <x:c r="A132" s="2" t="n">
        <x:v>7.525</x:v>
      </x:c>
      <x:c r="B132" s="3" t="n">
        <x:f>E132/$K$27*0.25</x:f>
        <x:v>0.028244467909145102</x:v>
      </x:c>
      <x:c r="C132" s="3"/>
      <x:c r="D132" s="3"/>
      <x:c r="E132" t="n">
        <x:f>IF(A132&lt;10,EXP(-((LN(10-A132)-$K$33)^2)/(2*$K$34^2))/(10-A132),0)</x:f>
        <x:v>0.26797107759664884</x:v>
      </x:c>
      <x:c r="F132" t="n">
        <x:f>(E131+E132)*(A132-A131)/2</x:f>
        <x:v>0.006635548238162145</x:v>
      </x:c>
      <x:c r="G132" t="n">
        <x:f>(A131*E131+A132*E132)*(A132-A131)/2</x:f>
        <x:v>0.04985035274796504</x:v>
      </x:c>
      <x:c r="H132" t="n">
        <x:f>H131+F132/$K$27</x:f>
        <x:v>0.13595569873919552</x:v>
      </x:c>
    </x:row>
    <x:row r="133">
      <x:c r="A133" s="2" t="n">
        <x:v>7.55</x:v>
      </x:c>
      <x:c r="B133" s="3" t="n">
        <x:f>E133/$K$27*0.25</x:f>
        <x:v>0.028794918697701503</x:v>
      </x:c>
      <x:c r="C133" s="3"/>
      <x:c r="D133" s="3"/>
      <x:c r="E133" t="n">
        <x:f>IF(A133&lt;10,EXP(-((LN(10-A133)-$K$33)^2)/(2*$K$34^2))/(10-A133),0)</x:f>
        <x:v>0.27319351235618716</x:v>
      </x:c>
      <x:c r="F133" t="n">
        <x:f>(E132+E133)*(A133-A132)/2</x:f>
        <x:v>0.006764557374410306</x:v>
      </x:c>
      <x:c r="G133" t="n">
        <x:f>(A132*E132+A133*E133)*(A133-A132)/2</x:f>
        <x:v>0.05098866721504887</x:v>
      </x:c>
      <x:c r="H133" t="n">
        <x:f>H132+F133/$K$27</x:f>
        <x:v>0.1388076680695378</x:v>
      </x:c>
    </x:row>
    <x:row r="134">
      <x:c r="A134" s="2" t="n">
        <x:v>7.575</x:v>
      </x:c>
      <x:c r="B134" s="3" t="n">
        <x:f>E134/$K$27*0.25</x:f>
        <x:v>0.029358836279707</x:v>
      </x:c>
      <x:c r="C134" s="3"/>
      <x:c r="D134" s="3"/>
      <x:c r="E134" t="n">
        <x:f>IF(A134&lt;10,EXP(-((LN(10-A134)-$K$33)^2)/(2*$K$34^2))/(10-A134),0)</x:f>
        <x:v>0.2785437141235492</x:v>
      </x:c>
      <x:c r="F134" t="n">
        <x:f>(E133+E134)*(A134-A133)/2</x:f>
        <x:v>0.006896715330996803</x:v>
      </x:c>
      <x:c r="G134" t="n">
        <x:f>(A133*E133+A134*E134)*(A134-A133)/2</x:f>
        <x:v>0.052157245659689475</x:v>
      </x:c>
      <x:c r="H134" t="n">
        <x:f>H133+F134/$K$27</x:f>
        <x:v>0.14171535581840825</x:v>
      </x:c>
    </x:row>
    <x:row r="135">
      <x:c r="A135" s="2" t="n">
        <x:v>7.6</x:v>
      </x:c>
      <x:c r="B135" s="3" t="n">
        <x:f>E135/$K$27*0.25</x:f>
        <x:v>0.029936615908817837</x:v>
      </x:c>
      <x:c r="C135" s="3"/>
      <x:c r="D135" s="3"/>
      <x:c r="E135" t="n">
        <x:f>IF(A135&lt;10,EXP(-((LN(10-A135)-$K$33)^2)/(2*$K$34^2))/(10-A135),0)</x:f>
        <x:v>0.2840254328914249</x:v>
      </x:c>
      <x:c r="F135" t="n">
        <x:f>(E134+E135)*(A135-A134)/2</x:f>
        <x:v>0.007032114337687026</x:v>
      </x:c>
      <x:c r="G135" t="n">
        <x:f>(A134*E134+A135*E135)*(A135-A134)/2</x:f>
        <x:v>0.05335702405575779</x:v>
      </x:c>
      <x:c r="H135" t="n">
        <x:f>H134+F135/$K$27</x:f>
        <x:v>0.14468012842783443</x:v>
      </x:c>
    </x:row>
    <x:row r="136">
      <x:c r="A136" s="2" t="n">
        <x:v>7.625</x:v>
      </x:c>
      <x:c r="B136" s="3" t="n">
        <x:f>E136/$K$27*0.25</x:f>
        <x:v>0.030528666119674867</x:v>
      </x:c>
      <x:c r="C136" s="3"/>
      <x:c r="D136" s="3"/>
      <x:c r="E136" t="n">
        <x:f>IF(A136&lt;10,EXP(-((LN(10-A136)-$K$33)^2)/(2*$K$34^2))/(10-A136),0)</x:f>
        <x:v>0.28964254465663936</x:v>
      </x:c>
      <x:c r="F136" t="n">
        <x:f>(E135+E136)*(A136-A135)/2</x:f>
        <x:v>0.007170849719350904</x:v>
      </x:c>
      <x:c r="G136" t="n">
        <x:f>(A135*E135+A136*E136)*(A136-A135)/2</x:f>
        <x:v>0.05458897116227208</x:v>
      </x:c>
      <x:c r="H136" t="n">
        <x:f>H135+F136/$K$27</x:f>
        <x:v>0.1477033925292591</x:v>
      </x:c>
    </x:row>
    <x:row r="137">
      <x:c r="A137" s="2" t="n">
        <x:v>7.65</x:v>
      </x:c>
      <x:c r="B137" s="3" t="n">
        <x:f>E137/$K$27*0.25</x:f>
        <x:v>0.031135409207722016</x:v>
      </x:c>
      <x:c r="C137" s="3"/>
      <x:c r="D137" s="3"/>
      <x:c r="E137" t="n">
        <x:f>IF(A137&lt;10,EXP(-((LN(10-A137)-$K$33)^2)/(2*$K$34^2))/(10-A137),0)</x:f>
        <x:v>0.2953990559724595</x:v>
      </x:c>
      <x:c r="F137" t="n">
        <x:f>(E136+E137)*(A137-A136)/2</x:f>
        <x:v>0.007313020007863839</x:v>
      </x:c>
      <x:c r="G137" t="n">
        <x:f>(A136*E136+A137*E137)*(A137-A136)/2</x:f>
        <x:v>0.05585408976495318</x:v>
      </x:c>
      <x:c r="H137" t="n">
        <x:f>H136+F137/$K$27</x:f>
        <x:v>0.150786596295629</x:v>
      </x:c>
    </x:row>
    <x:row r="138">
      <x:c r="A138" s="2" t="n">
        <x:v>7.675</x:v>
      </x:c>
      <x:c r="B138" s="3" t="n">
        <x:f>E138/$K$27*0.25</x:f>
        <x:v>0.03175728172537024</x:v>
      </x:c>
      <x:c r="C138" s="3"/>
      <x:c r="D138" s="3"/>
      <x:c r="E138" t="n">
        <x:f>IF(A138&lt;10,EXP(-((LN(10-A138)-$K$33)^2)/(2*$K$34^2))/(10-A138),0)</x:f>
        <x:v>0.30129910865597914</x:v>
      </x:c>
      <x:c r="F138" t="n">
        <x:f>(E137+E138)*(A138-A137)/2</x:f>
        <x:v>0.007458727057855324</x:v>
      </x:c>
      <x:c r="G138" t="n">
        <x:f>(A137*E137+A138*E138)*(A138-A137)/2</x:f>
        <x:v>0.05715341796404823</x:v>
      </x:c>
      <x:c r="H138" t="n">
        <x:f>H137+F138/$K$27</x:f>
        <x:v>0.15393123084228352</x:v>
      </x:c>
    </x:row>
    <x:row r="139">
      <x:c r="A139" s="2" t="n">
        <x:v>7.7</x:v>
      </x:c>
      <x:c r="B139" s="3" t="n">
        <x:f>E139/$K$27*0.25</x:f>
        <x:v>0.032394734994766104</x:v>
      </x:c>
      <x:c r="C139" s="3"/>
      <x:c r="D139" s="3"/>
      <x:c r="E139" t="n">
        <x:f>IF(A139&lt;10,EXP(-((LN(10-A139)-$K$33)^2)/(2*$K$34^2))/(10-A139),0)</x:f>
        <x:v>0.3073469846530415</x:v>
      </x:c>
      <x:c r="F139" t="n">
        <x:f>(E138+E139)*(A139-A138)/2</x:f>
        <x:v>0.007608076166362866</x:v>
      </x:c>
      <x:c r="G139" t="n">
        <x:f>(A138*E138+A139*E139)*(A139-A138)/2</x:f>
        <x:v>0.05848803050953908</x:v>
      </x:c>
      <x:c r="H139" t="n">
        <x:f>H138+F139/$K$27</x:f>
        <x:v>0.15713883167829037</x:v>
      </x:c>
    </x:row>
    <x:row r="140">
      <x:c r="A140" s="2" t="n">
        <x:v>7.725</x:v>
      </x:c>
      <x:c r="B140" s="3" t="n">
        <x:f>E140/$K$27*0.25</x:f>
        <x:v>0.03304823563737637</x:v>
      </x:c>
      <x:c r="C140" s="3"/>
      <x:c r="D140" s="3"/>
      <x:c r="E140" t="n">
        <x:f>IF(A140&lt;10,EXP(-((LN(10-A140)-$K$33)^2)/(2*$K$34^2))/(10-A140),0)</x:f>
        <x:v>0.3135471110627047</x:v>
      </x:c>
      <x:c r="F140" t="n">
        <x:f>(E139+E140)*(A140-A139)/2</x:f>
        <x:v>0.007761176196446663</x:v>
      </x:c>
      <x:c r="G140" t="n">
        <x:f>(A139*E139+A140*E140)*(A140-A139)/2</x:f>
        <x:v>0.05985904018484639</x:v>
      </x:c>
      <x:c r="H140" t="n">
        <x:f>H139+F140/$K$27</x:f>
        <x:v>0.16041098020989744</x:v>
      </x:c>
    </x:row>
    <x:row r="141">
      <x:c r="A141" s="2" t="n">
        <x:v>7.75</x:v>
      </x:c>
      <x:c r="B141" s="3" t="n">
        <x:f>E141/$K$27*0.25</x:f>
        <x:v>0.0337182661205425</x:v>
      </x:c>
      <x:c r="C141" s="3"/>
      <x:c r="D141" s="3"/>
      <x:c r="E141" t="n">
        <x:f>IF(A141&lt;10,EXP(-((LN(10-A141)-$K$33)^2)/(2*$K$34^2))/(10-A141),0)</x:f>
        <x:v>0.3199040653227103</x:v>
      </x:c>
      <x:c r="F141" t="n">
        <x:f>(E140+E141)*(A141-A140)/2</x:f>
        <x:v>0.0079181397048178</x:v>
      </x:c>
      <x:c r="G141" t="n">
        <x:f>(A140*E140+A141*E141)*(A141-A140)/2</x:f>
        <x:v>0.06126759924013086</x:v>
      </x:c>
      <x:c r="H141" t="n">
        <x:f>H140+F141/$K$27</x:f>
        <x:v>0.16374930529779344</x:v>
      </x:c>
    </x:row>
    <x:row r="142">
      <x:c r="A142" s="2" t="n">
        <x:v>7.775</x:v>
      </x:c>
      <x:c r="B142" s="3" t="n">
        <x:f>E142/$K$27*0.25</x:f>
        <x:v>0.034405325321088275</x:v>
      </x:c>
      <x:c r="C142" s="3"/>
      <x:c r="D142" s="3"/>
      <x:c r="E142" t="n">
        <x:f>IF(A142&lt;10,EXP(-((LN(10-A142)-$K$33)^2)/(2*$K$34^2))/(10-A142),0)</x:f>
        <x:v>0.32642258055674417</x:v>
      </x:c>
      <x:c r="F142" t="n">
        <x:f>(E141+E142)*(A142-A141)/2</x:f>
        <x:v>0.008079083073493297</x:v>
      </x:c>
      <x:c r="G142" t="n">
        <x:f>(A141*E141+A142*E142)*(A142-A141)/2</x:f>
        <x:v>0.06271490087599703</x:v>
      </x:c>
      <x:c r="H142" t="n">
        <x:f>H141+F142/$K$27</x:f>
        <x:v>0.16715548486987503</x:v>
      </x:c>
    </x:row>
    <x:row r="143">
      <x:c r="A143" s="2" t="n">
        <x:v>7.8</x:v>
      </x:c>
      <x:c r="B143" s="3" t="n">
        <x:f>E143/$K$27*0.25</x:f>
        <x:v>0.03510992910598137</x:v>
      </x:c>
      <x:c r="C143" s="3"/>
      <x:c r="D143" s="3"/>
      <x:c r="E143" t="n">
        <x:f>IF(A143&lt;10,EXP(-((LN(10-A143)-$K$33)^2)/(2*$K$34^2))/(10-A143),0)</x:f>
        <x:v>0.333107551083498</x:v>
      </x:c>
      <x:c r="F143" t="n">
        <x:f>(E142+E143)*(A143-A142)/2</x:f>
        <x:v>0.008244126645502852</x:v>
      </x:c>
      <x:c r="G143" t="n">
        <x:f>(A142*E142+A143*E143)*(A143-A142)/2</x:f>
        <x:v>0.06420218077849826</x:v>
      </x:c>
      <x:c r="H143" t="n">
        <x:f>H142+F143/$K$27</x:f>
        <x:v>0.17063124759122844</x:v>
      </x:c>
    </x:row>
    <x:row r="144">
      <x:c r="A144" s="2" t="n">
        <x:v>7.825</x:v>
      </x:c>
      <x:c r="B144" s="3" t="n">
        <x:f>E144/$K$27*0.25</x:f>
        <x:v>0.03583261092994993</x:v>
      </x:c>
      <x:c r="C144" s="3"/>
      <x:c r="D144" s="3"/>
      <x:c r="E144" t="n">
        <x:f>IF(A144&lt;10,EXP(-((LN(10-A144)-$K$33)^2)/(2*$K$34^2))/(10-A144),0)</x:f>
        <x:v>0.3399640380865923</x:v>
      </x:c>
      <x:c r="F144" t="n">
        <x:f>(E143+E144)*(A144-A143)/2</x:f>
        <x:v>0.008413394864626248</x:v>
      </x:c>
      <x:c r="G144" t="n">
        <x:f>(A143*E143+A144*E144)*(A144-A143)/2</x:f>
        <x:v>0.06573071870598679</x:v>
      </x:c>
      <x:c r="H144" t="n">
        <x:f>H143+F144/$K$27</x:f>
        <x:v>0.17417837459302504</x:v>
      </x:c>
    </x:row>
    <x:row r="145">
      <x:c r="A145" s="2" t="n">
        <x:v>7.85</x:v>
      </x:c>
      <x:c r="B145" s="3" t="n">
        <x:f>E145/$K$27*0.25</x:f>
        <x:v>0.03657392244983841</x:v>
      </x:c>
      <x:c r="C145" s="3"/>
      <x:c r="D145" s="3"/>
      <x:c r="E145" t="n">
        <x:f>IF(A145&lt;10,EXP(-((LN(10-A145)-$K$33)^2)/(2*$K$34^2))/(10-A145),0)</x:f>
        <x:v>0.346997275443314</x:v>
      </x:c>
      <x:c r="F145" t="n">
        <x:f>(E144+E145)*(A145-A144)/2</x:f>
        <x:v>0.008587016419123645</x:v>
      </x:c>
      <x:c r="G145" t="n">
        <x:f>(A144*E144+A145*E145)*(A145-A144)/2</x:f>
        <x:v>0.06730184012821856</x:v>
      </x:c>
      <x:c r="H145" t="n">
        <x:f>H144+F145/$K$27</x:f>
        <x:v>0.17779870126201439</x:v>
      </x:c>
    </x:row>
    <x:row r="146">
      <x:c r="A146" s="2" t="n">
        <x:v>7.875</x:v>
      </x:c>
      <x:c r="B146" s="3" t="n">
        <x:f>E146/$K$27*0.25</x:f>
        <x:v>0.0373344341553496</x:v>
      </x:c>
      <x:c r="C146" s="3"/>
      <x:c r="D146" s="3"/>
      <x:c r="E146" t="n">
        <x:f>IF(A146&lt;10,EXP(-((LN(10-A146)-$K$33)^2)/(2*$K$34^2))/(10-A146),0)</x:f>
        <x:v>0.3542126757088192</x:v>
      </x:c>
      <x:c r="F146" t="n">
        <x:f>(E145+E146)*(A146-A145)/2</x:f>
        <x:v>0.00876512438940179</x:v>
      </x:c>
      <x:c r="G146" t="n">
        <x:f>(A145*E145+A146*E146)*(A146-A145)/2</x:f>
        <x:v>0.06891691791796305</x:v>
      </x:c>
      <x:c r="H146" t="n">
        <x:f>H145+F146/$K$27</x:f>
        <x:v>0.18149411909227384</x:v>
      </x:c>
    </x:row>
    <x:row r="147">
      <x:c r="A147" s="2" t="n">
        <x:v>7.9</x:v>
      </x:c>
      <x:c r="B147" s="3" t="n">
        <x:f>E147/$K$27*0.25</x:f>
        <x:v>0.03811473601565709</x:v>
      </x:c>
      <x:c r="C147" s="3"/>
      <x:c r="D147" s="3"/>
      <x:c r="E147" t="n">
        <x:f>IF(A147&lt;10,EXP(-((LN(10-A147)-$K$33)^2)/(2*$K$34^2))/(10-A147),0)</x:f>
        <x:v>0.3616158362509077</x:v>
      </x:c>
      <x:c r="F147" t="n">
        <x:f>(E146+E147)*(A147-A146)/2</x:f>
        <x:v>0.008947856399496714</x:v>
      </x:c>
      <x:c r="G147" t="n">
        <x:f>(A146*E146+A147*E147)*(A147-A146)/2</x:f>
        <x:v>0.07057737409486502</x:v>
      </x:c>
      <x:c r="H147" t="n">
        <x:f>H146+F147/$K$27</x:f>
        <x:v>0.1852665776008242</x:v>
      </x:c>
    </x:row>
    <x:row r="148">
      <x:c r="A148" s="2" t="n">
        <x:v>7.925</x:v>
      </x:c>
      <x:c r="B148" s="3" t="n">
        <x:f>E148/$K$27*0.25</x:f>
        <x:v>0.038915438141184484</x:v>
      </x:c>
      <x:c r="C148" s="3"/>
      <x:c r="D148" s="3"/>
      <x:c r="E148" t="n">
        <x:f>IF(A148&lt;10,EXP(-((LN(10-A148)-$K$33)^2)/(2*$K$34^2))/(10-A148),0)</x:f>
        <x:v>0.36921254552869265</x:v>
      </x:c>
      <x:c r="F148" t="n">
        <x:f>(E147+E148)*(A148-A147)/2</x:f>
        <x:v>0.00913535477224481</x:v>
      </x:c>
      <x:c r="G148" t="n">
        <x:f>(A147*E147+A148*E148)*(A148-A147)/2</x:f>
        <x:v>0.0722846816212117</x:v>
      </x:c>
      <x:c r="H148" t="n">
        <x:f>H147+F148/$K$27</x:f>
        <x:v>0.18911808630866622</x:v>
      </x:c>
    </x:row>
    <x:row r="149">
      <x:c r="A149" s="2" t="n">
        <x:v>7.95</x:v>
      </x:c>
      <x:c r="B149" s="3" t="n">
        <x:f>E149/$K$27*0.25</x:f>
        <x:v>0.03973717145962567</x:v>
      </x:c>
      <x:c r="C149" s="3"/>
      <x:c r="D149" s="3"/>
      <x:c r="E149" t="n">
        <x:f>IF(A149&lt;10,EXP(-((LN(10-A149)-$K$33)^2)/(2*$K$34^2))/(10-A149),0)</x:f>
        <x:v>0.3770087895063835</x:v>
      </x:c>
      <x:c r="F149" t="n">
        <x:f>(E148+E149)*(A149-A148)/2</x:f>
        <x:v>0.009327766687938584</x:v>
      </x:c>
      <x:c r="G149" t="n">
        <x:f>(A148*E148+A149*E149)*(A149-A148)/2</x:f>
        <x:v>0.07404036624863403</x:v>
      </x:c>
      <x:c r="H149" t="n">
        <x:f>H148+F149/$K$27</x:f>
        <x:v>0.19305071678870678</x:v>
      </x:c>
    </x:row>
    <x:row r="150">
      <x:c r="A150" s="2" t="n">
        <x:v>7.975</x:v>
      </x:c>
      <x:c r="B150" s="3" t="n">
        <x:f>E150/$K$27*0.25</x:f>
        <x:v>0.04058058840502373</x:v>
      </x:c>
      <x:c r="C150" s="3"/>
      <x:c r="D150" s="3"/>
      <x:c r="E150" t="n">
        <x:f>IF(A150&lt;10,EXP(-((LN(10-A150)-$K$33)^2)/(2*$K$34^2))/(10-A150),0)</x:f>
        <x:v>0.3850107581909631</x:v>
      </x:c>
      <x:c r="F150" t="n">
        <x:f>(E149+E150)*(A150-A149)/2</x:f>
        <x:v>0.009525244346216629</x:v>
      </x:c>
      <x:c r="G150" t="n">
        <x:f>(A149*E149+A150*E150)*(A150-A149)/2</x:f>
        <x:v>0.07584600841435687</x:v>
      </x:c>
      <x:c r="H150" t="n">
        <x:f>H149+F150/$K$27</x:f>
        <x:v>0.19706660478193916</x:v>
      </x:c>
    </x:row>
    <x:row r="151">
      <x:c r="A151" s="2" t="n">
        <x:v>8</x:v>
      </x:c>
      <x:c r="B151" s="3" t="n">
        <x:f>E151/$K$27*0.25</x:f>
        <x:v>0.04144636361842686</x:v>
      </x:c>
      <x:c r="C151" s="3"/>
      <x:c r="D151" s="3"/>
      <x:c r="E151" t="n">
        <x:f>IF(A151&lt;10,EXP(-((LN(10-A151)-$K$33)^2)/(2*$K$34^2))/(10-A151),0)</x:f>
        <x:v>0.3932248522797027</x:v>
      </x:c>
      <x:c r="F151" t="n">
        <x:f>(E150+E151)*(A151-A150)/2</x:f>
        <x:v>0.00972794513088346</x:v>
      </x:c>
      <x:c r="G151" t="n">
        <x:f>(A150*E150+A151*E151)*(A151-A150)/2</x:f>
        <x:v>0.077703245185133</x:v>
      </x:c>
      <x:c r="H151" t="n">
        <x:f>H150+F151/$K$27</x:f>
        <x:v>0.20116795238311175</x:v>
      </x:c>
    </x:row>
    <x:row r="152">
      <x:c r="A152" s="2" t="n">
        <x:v>8.025</x:v>
      </x:c>
      <x:c r="B152" s="3" t="n">
        <x:f>E152/$K$27*0.25</x:f>
        <x:v>0.042335194658291456</x:v>
      </x:c>
      <x:c r="C152" s="3"/>
      <x:c r="D152" s="3"/>
      <x:c r="E152" t="n">
        <x:f>IF(A152&lt;10,EXP(-((LN(10-A152)-$K$33)^2)/(2*$K$34^2))/(10-A152),0)</x:f>
        <x:v>0.40165768990015394</x:v>
      </x:c>
      <x:c r="F152" t="n">
        <x:f>(E151+E152)*(A152-A151)/2</x:f>
        <x:v>0.009936031777248349</x:v>
      </x:c>
      <x:c r="G152" t="n">
        <x:f>(A151*E151+A152*E152)*(A152-A151)/2</x:f>
        <x:v>0.0796137722460806</x:v>
      </x:c>
      <x:c r="H152" t="n">
        <x:f>H151+F152/$K$27</x:f>
        <x:v>0.2053570302969477</x:v>
      </x:c>
    </x:row>
    <x:row r="153">
      <x:c r="A153" s="2" t="n">
        <x:v>8.05</x:v>
      </x:c>
      <x:c r="B153" s="3" t="n">
        <x:f>E153/$K$27*0.25</x:f>
        <x:v>0.04324780271840039</x:v>
      </x:c>
      <x:c r="C153" s="3"/>
      <x:c r="D153" s="3"/>
      <x:c r="E153" t="n">
        <x:f>IF(A153&lt;10,EXP(-((LN(10-A153)-$K$33)^2)/(2*$K$34^2))/(10-A153),0)</x:f>
        <x:v>0.410316113421441</x:v>
      </x:c>
      <x:c r="F153" t="n">
        <x:f>(E152+E153)*(A153-A152)/2</x:f>
        <x:v>0.01014967254152008</x:v>
      </x:c>
      <x:c r="G153" t="n">
        <x:f>(A152*E152+A153*E153)*(A153-A152)/2</x:f>
        <x:v>0.08157934593114285</x:v>
      </x:c>
      <x:c r="H153" t="n">
        <x:f>H152+F153/$K$27</x:f>
        <x:v>0.20963618016578237</x:v>
      </x:c>
    </x:row>
    <x:row r="154">
      <x:c r="A154" s="2" t="n">
        <x:v>8.075</x:v>
      </x:c>
      <x:c r="B154" s="3" t="n">
        <x:f>E154/$K$27*0.25</x:f>
        <x:v>0.04418493335059607</x:v>
      </x:c>
      <x:c r="C154" s="3"/>
      <x:c r="D154" s="3"/>
      <x:c r="E154" t="n">
        <x:f>IF(A154&lt;10,EXP(-((LN(10-A154)-$K$33)^2)/(2*$K$34^2))/(10-A154),0)</x:f>
        <x:v>0.4192071963112339</x:v>
      </x:c>
      <x:c r="F154" t="n">
        <x:f>(E153+E154)*(A154-A153)/2</x:f>
        <x:v>0.010369041371657846</x:v>
      </x:c>
      <x:c r="G154" t="n">
        <x:f>(A153*E153+A154*E154)*(A154-A153)/2</x:f>
        <x:v>0.08360178529069291</x:v>
      </x:c>
      <x:c r="H154" t="n">
        <x:f>H153+F154/$K$27</x:f>
        <x:v>0.21400781696923193</x:v>
      </x:c>
    </x:row>
    <x:row r="155">
      <x:c r="A155" s="2" t="n">
        <x:v>8.1</x:v>
      </x:c>
      <x:c r="B155" s="3" t="n">
        <x:f>E155/$K$27*0.25</x:f>
        <x:v>0.045147357189088126</x:v>
      </x:c>
      <x:c r="C155" s="3"/>
      <x:c r="D155" s="3"/>
      <x:c r="E155" t="n">
        <x:f>IF(A155&lt;10,EXP(-((LN(10-A155)-$K$33)^2)/(2*$K$34^2))/(10-A155),0)</x:f>
        <x:v>0.42833825000766107</x:v>
      </x:c>
      <x:c r="F155" t="n">
        <x:f>(E154+E155)*(A155-A154)/2</x:f>
        <x:v>0.010594318078986337</x:v>
      </x:c>
      <x:c r="G155" t="n">
        <x:f>(A154*E154+A155*E155)*(A155-A154)/2</x:f>
        <x:v>0.08568297419094206</x:v>
      </x:c>
      <x:c r="H155" t="n">
        <x:f>H154+F155/$K$27</x:f>
        <x:v>0.2184744314962162</x:v>
      </x:c>
    </x:row>
    <x:row r="156">
      <x:c r="A156" s="2" t="n">
        <x:v>8.125</x:v>
      </x:c>
      <x:c r="B156" s="3" t="n">
        <x:f>E156/$K$27*0.25</x:f>
        <x:v>0.046135870672467875</x:v>
      </x:c>
      <x:c r="C156" s="3"/>
      <x:c r="D156" s="3"/>
      <x:c r="E156" t="n">
        <x:f>IF(A156&lt;10,EXP(-((LN(10-A156)-$K$33)^2)/(2*$K$34^2))/(10-A156),0)</x:f>
        <x:v>0.4377168307694647</x:v>
      </x:c>
      <x:c r="F156" t="n">
        <x:f>(E155+E156)*(A156-A155)/2</x:f>
        <x:v>0.010825688509714226</x:v>
      </x:c>
      <x:c r="G156" t="n">
        <x:f>(A155*E155+A156*E156)*(A156-A155)/2</x:f>
        <x:v>0.08782486343830069</x:v>
      </x:c>
      <x:c r="H156" t="n">
        <x:f>H155+F156/$K$27</x:f>
        <x:v>0.22303859288929406</x:v>
      </x:c>
    </x:row>
    <x:row r="157">
      <x:c r="A157" s="2" t="n">
        <x:v>8.15</x:v>
      </x:c>
      <x:c r="B157" s="3" t="n">
        <x:f>E157/$K$27*0.25</x:f>
        <x:v>0.04715129675883976</x:v>
      </x:c>
      <x:c r="C157" s="3"/>
      <x:c r="D157" s="3"/>
      <x:c r="E157" t="n">
        <x:f>IF(A157&lt;10,EXP(-((LN(10-A157)-$K$33)^2)/(2*$K$34^2))/(10-A157),0)</x:f>
        <x:v>0.4473507464608528</x:v>
      </x:c>
      <x:c r="F157" t="n">
        <x:f>(E156+E157)*(A157-A156)/2</x:f>
        <x:v>0.011063344715379127</x:v>
      </x:c>
      <x:c r="G157" t="n">
        <x:f>(A156*E156+A157*E157)*(A157-A156)/2</x:f>
        <x:v>0.09002947292072443</x:v>
      </x:c>
      <x:c r="H157" t="n">
        <x:f>H156+F157/$K$27</x:f>
        <x:v>0.22770295126085952</x:v>
      </x:c>
    </x:row>
    <x:row r="158">
      <x:c r="A158" s="2" t="n">
        <x:v>8.175</x:v>
      </x:c>
      <x:c r="B158" s="3" t="n">
        <x:f>E158/$K$27*0.25</x:f>
        <x:v>0.04819448562864076</x:v>
      </x:c>
      <x:c r="C158" s="3"/>
      <x:c r="D158" s="3"/>
      <x:c r="E158" t="n">
        <x:f>IF(A158&lt;10,EXP(-((LN(10-A158)-$K$33)^2)/(2*$K$34^2))/(10-A158),0)</x:f>
        <x:v>0.45724806321954076</x:v>
      </x:c>
      <x:c r="F158" t="n">
        <x:f>(E157+E158)*(A158-A157)/2</x:f>
        <x:v>0.011307485121005082</x:v>
      </x:c>
      <x:c r="G158" t="n">
        <x:f>(A157*E157+A158*E158)*(A158-A157)/2</x:f>
        <x:v>0.09229889375594752</x:v>
      </x:c>
      <x:c r="H158" t="n">
        <x:f>H157+F158/$K$27</x:f>
        <x:v>0.23247024038023362</x:v>
      </x:c>
    </x:row>
    <x:row r="159">
      <x:c r="A159" s="2" t="n">
        <x:v>8.2</x:v>
      </x:c>
      <x:c r="B159" s="3" t="n">
        <x:f>E159/$K$27*0.25</x:f>
        <x:v>0.04926631536875205</x:v>
      </x:c>
      <x:c r="C159" s="3"/>
      <x:c r="D159" s="3"/>
      <x:c r="E159" t="n">
        <x:f>IF(A159&lt;10,EXP(-((LN(10-A159)-$K$33)^2)/(2*$K$34^2))/(10-A159),0)</x:f>
        <x:v>0.46741711194730107</x:v>
      </x:c>
      <x:c r="F159" t="n">
        <x:f>(E158+E159)*(A159-A158)/2</x:f>
        <x:v>0.011558314689584865</x:v>
      </x:c>
      <x:c r="G159" t="n">
        <x:f>(A158*E158+A159*E159)*(A159-A158)/2</x:f>
        <x:v>0.0946352904348398</x:v>
      </x:c>
      <x:c r="H159" t="n">
        <x:f>H158+F159/$K$27</x:f>
        <x:v>0.23734328043010297</x:v>
      </x:c>
    </x:row>
    <x:row r="160">
      <x:c r="A160" s="2" t="n">
        <x:v>8.225</x:v>
      </x:c>
      <x:c r="B160" s="3" t="n">
        <x:f>E160/$K$27*0.25</x:f>
        <x:v>0.05036769263038866</x:v>
      </x:c>
      <x:c r="C160" s="3"/>
      <x:c r="D160" s="3"/>
      <x:c r="E160" t="n">
        <x:f>IF(A160&lt;10,EXP(-((LN(10-A160)-$K$33)^2)/(2*$K$34^2))/(10-A160),0)</x:f>
        <x:v>0.47786649455173125</x:v>
      </x:c>
      <x:c r="F160" t="n">
        <x:f>(E159+E160)*(A160-A159)/2</x:f>
        <x:v>0.011816045081238073</x:v>
      </x:c>
      <x:c r="G160" t="n">
        <x:f>(A159*E159+A160*E160)*(A160-A159)/2</x:f>
        <x:v>0.0970409029456996</x:v>
      </x:c>
      <x:c r="H160" t="n">
        <x:f>H159+F160/$K$27</x:f>
        <x:v>0.24232498083006007</x:v>
      </x:c>
    </x:row>
    <x:row r="161">
      <x:c r="A161" s="2" t="n">
        <x:v>8.25</x:v>
      </x:c>
      <x:c r="B161" s="3" t="n">
        <x:f>E161/$K$27*0.25</x:f>
        <x:v>0.05149955325195855</x:v>
      </x:c>
      <x:c r="C161" s="3"/>
      <x:c r="D161" s="3"/>
      <x:c r="E161" t="n">
        <x:f>IF(A161&lt;10,EXP(-((LN(10-A161)-$K$33)^2)/(2*$K$34^2))/(10-A161),0)</x:f>
        <x:v>0.48860508985566653</x:v>
      </x:c>
      <x:c r="F161" t="n">
        <x:f>(E160+E161)*(A161-A160)/2</x:f>
        <x:v>0.012080894805092644</x:v>
      </x:c>
      <x:c r="G161" t="n">
        <x:f>(A160*E160+A161*E161)*(A161-A160)/2</x:f>
        <x:v>0.0995180488624669</x:v>
      </x:c>
      <x:c r="H161" t="n">
        <x:f>H160+F161/$K$27</x:f>
        <x:v>0.24741834312417751</x:v>
      </x:c>
    </x:row>
    <x:row r="162">
      <x:c r="A162" s="2" t="n">
        <x:v>8.275</x:v>
      </x:c>
      <x:c r="B162" s="3" t="n">
        <x:f>E162/$K$27*0.25</x:f>
        <x:v>0.05266286283659045</x:v>
      </x:c>
      <x:c r="C162" s="3"/>
      <x:c r="D162" s="3"/>
      <x:c r="E162" t="n">
        <x:f>IF(A162&lt;10,EXP(-((LN(10-A162)-$K$33)^2)/(2*$K$34^2))/(10-A162),0)</x:f>
        <x:v>0.49964205907650944</x:v>
      </x:c>
      <x:c r="F162" t="n">
        <x:f>(E161+E162)*(A162-A161)/2</x:f>
        <x:v>0.012353089361652376</x:v>
      </x:c>
      <x:c r="G162" t="n">
        <x:f>(A161*E161+A162*E162)*(A162-A161)/2</x:f>
        <x:v>0.1020691253770935</x:v>
      </x:c>
      <x:c r="H162" t="n">
        <x:f>H161+F162/$K$27</x:f>
        <x:v>0.25262646392860505</x:v>
      </x:c>
    </x:row>
    <x:row r="163">
      <x:c r="A163" s="2" t="n">
        <x:v>8.3</x:v>
      </x:c>
      <x:c r="B163" s="3" t="n">
        <x:f>E163/$K$27*0.25</x:f>
        <x:v>0.05385861727229923</x:v>
      </x:c>
      <x:c r="C163" s="3"/>
      <x:c r="D163" s="3"/>
      <x:c r="E163" t="n">
        <x:f>IF(A163&lt;10,EXP(-((LN(10-A163)-$K$33)^2)/(2*$K$34^2))/(10-A163),0)</x:f>
        <x:v>0.5109868507613302</x:v>
      </x:c>
      <x:c r="F163" t="n">
        <x:f>(E162+E163)*(A163-A162)/2</x:f>
        <x:v>0.012632861372973174</x:v>
      </x:c>
      <x:c r="G163" t="n">
        <x:f>(A162*E162+A163*E163)*(A163-A162)/2</x:f>
        <x:v>0.10469661125221597</x:v>
      </x:c>
      <x:c r="H163" t="n">
        <x:f>H162+F163/$K$27</x:f>
        <x:v>0.2579525379340496</x:v>
      </x:c>
    </x:row>
    <x:row r="164">
      <x:c r="A164" s="2" t="n">
        <x:v>8.325</x:v>
      </x:c>
      <x:c r="B164" s="3" t="n">
        <x:f>E164/$K$27*0.25</x:f>
        <x:v>0.055087843180760536</x:v>
      </x:c>
      <x:c r="C164" s="3"/>
      <x:c r="D164" s="3"/>
      <x:c r="E164" t="n">
        <x:f>IF(A164&lt;10,EXP(-((LN(10-A164)-$K$33)^2)/(2*$K$34^2))/(10-A164),0)</x:f>
        <x:v>0.5226492050446425</x:v>
      </x:c>
      <x:c r="F164" t="n">
        <x:f>(E163+E164)*(A164-A163)/2</x:f>
        <x:v>0.012920450697573924</x:v>
      </x:c>
      <x:c r="G164" t="n">
        <x:f>(A163*E163+A164*E164)*(A164-A163)/2</x:f>
        <x:v>0.10740306866644003</x:v>
      </x:c>
      <x:c r="H164" t="n">
        <x:f>H163+F164/$K$27</x:f>
        <x:v>0.26339986095670226</x:v>
      </x:c>
    </x:row>
    <x:row r="165">
      <x:c r="A165" s="2" t="n">
        <x:v>8.35</x:v>
      </x:c>
      <x:c r="B165" s="3" t="n">
        <x:f>E165/$K$27*0.25</x:f>
        <x:v>0.056351598278354606</x:v>
      </x:c>
      <x:c r="C165" s="3"/>
      <x:c r="D165" s="3"/>
      <x:c r="E165" t="n">
        <x:f>IF(A165&lt;10,EXP(-((LN(10-A165)-$K$33)^2)/(2*$K$34^2))/(10-A165),0)</x:f>
        <x:v>0.5346391570738288</x:v>
      </x:c>
      <x:c r="F165" t="n">
        <x:f>(E164+E165)*(A165-A164)/2</x:f>
        <x:v>0.01321610452648108</x:v>
      </x:c>
      <x:c r="G165" t="n">
        <x:f>(A164*E164+A165*E165)*(A165-A164)/2</x:f>
        <x:v>0.11019114491954055</x:v>
      </x:c>
      <x:c r="H165" t="n">
        <x:f>H164+F165/$K$27</x:f>
        <x:v>0.2689718330296581</x:v>
      </x:c>
    </x:row>
    <x:row r="166">
      <x:c r="A166" s="2" t="n">
        <x:v>8.375</x:v>
      </x:c>
      <x:c r="B166" s="3" t="n">
        <x:f>E166/$K$27*0.25</x:f>
        <x:v>0.05765097163046116</x:v>
      </x:c>
      <x:c r="C166" s="3"/>
      <x:c r="D166" s="3"/>
      <x:c r="E166" t="n">
        <x:f>IF(A166&lt;10,EXP(-((LN(10-A166)-$K$33)^2)/(2*$K$34^2))/(10-A166),0)</x:f>
        <x:v>0.5469670394217778</x:v>
      </x:c>
      <x:c r="F166" t="n">
        <x:f>(E165+E166)*(A166-A165)/2</x:f>
        <x:v>0.013520077456195276</x:v>
      </x:c>
      <x:c r="G166" t="n">
        <x:f>(A165*E165+A166*E166)*(A166-A165)/2</x:f>
        <x:v>0.11306357395904985</x:v>
      </x:c>
      <x:c r="H166" t="n">
        <x:f>H165+F166/$K$27</x:f>
        <x:v>0.274671961525099</x:v>
      </x:c>
    </x:row>
    <x:row r="167">
      <x:c r="A167" s="2" t="n">
        <x:v>8.4</x:v>
      </x:c>
      <x:c r="B167" s="3" t="n">
        <x:f>E167/$K$27*0.25</x:f>
        <x:v>0.05898708377689144</x:v>
      </x:c>
      <x:c r="C167" s="3"/>
      <x:c r="D167" s="3"/>
      <x:c r="E167" t="n">
        <x:f>IF(A167&lt;10,EXP(-((LN(10-A167)-$K$33)^2)/(2*$K$34^2))/(10-A167),0)</x:f>
        <x:v>0.5596434832769289</x:v>
      </x:c>
      <x:c r="F167" t="n">
        <x:f>(E166+E167)*(A167-A166)/2</x:f>
        <x:v>0.013832631533734032</x:v>
      </x:c>
      <x:c r="G167" t="n">
        <x:f>(A166*E166+A167*E167)*(A167-A166)/2</x:f>
        <x:v>0.11602317768354656</x:v>
      </x:c>
      <x:c r="H167" t="n">
        <x:f>H166+F167/$K$27</x:f>
        <x:v>0.2805038642954667</x:v>
      </x:c>
    </x:row>
    <x:row r="168">
      <x:c r="A168" s="2" t="n">
        <x:v>8.425</x:v>
      </x:c>
      <x:c r="B168" s="3" t="n">
        <x:f>E168/$K$27*0.25</x:f>
        <x:v>0.060361086702749644</x:v>
      </x:c>
      <x:c r="C168" s="3"/>
      <x:c r="D168" s="3"/>
      <x:c r="E168" t="n">
        <x:f>IF(A168&lt;10,EXP(-((LN(10-A168)-$K$33)^2)/(2*$K$34^2))/(10-A168),0)</x:f>
        <x:v>0.5726794181668178</x:v>
      </x:c>
      <x:c r="F168" t="n">
        <x:f>(E167+E168)*(A168-A167)/2</x:f>
        <x:v>0.014154036268047034</x:v>
      </x:c>
      <x:c r="G168" t="n">
        <x:f>(A167*E167+A168*E168)*(A168-A167)/2</x:f>
        <x:v>0.11907286696977222</x:v>
      </x:c>
      <x:c r="H168" t="n">
        <x:f>H167+F168/$K$27</x:f>
        <x:v>0.28647127281944884</x:v>
      </x:c>
    </x:row>
    <x:row r="169">
      <x:c r="A169" s="2" t="n">
        <x:v>8.45</x:v>
      </x:c>
      <x:c r="B169" s="3" t="n">
        <x:f>E169/$K$27*0.25</x:f>
        <x:v>0.06177416362485367</x:v>
      </x:c>
      <x:c r="C169" s="3"/>
      <x:c r="D169" s="3"/>
      <x:c r="E169" t="n">
        <x:f>IF(A169&lt;10,EXP(-((LN(10-A169)-$K$33)^2)/(2*$K$34^2))/(10-A169),0)</x:f>
        <x:v>0.5860860699317308</x:v>
      </x:c>
      <x:c r="F169" t="n">
        <x:f>(E168+E169)*(A169-A168)/2</x:f>
        <x:v>0.014484568601231033</x:v>
      </x:c>
      <x:c r="G169" t="n">
        <x:f>(A168*E168+A169*E169)*(A169-A168)/2</x:f>
        <x:v>0.12221564236222511</x:v>
      </x:c>
      <x:c r="H169" t="n">
        <x:f>H168+F169/$K$27</x:f>
        <x:v>0.29257803533582866</x:v>
      </x:c>
    </x:row>
    <x:row r="170">
      <x:c r="A170" s="2" t="n">
        <x:v>8.475</x:v>
      </x:c>
      <x:c r="B170" s="3" t="n">
        <x:f>E170/$K$27*0.25</x:f>
        <x:v>0.0632275285590147</x:v>
      </x:c>
      <x:c r="C170" s="3"/>
      <x:c r="D170" s="3"/>
      <x:c r="E170" t="n">
        <x:f>IF(A170&lt;10,EXP(-((LN(10-A170)-$K$33)^2)/(2*$K$34^2))/(10-A170),0)</x:f>
        <x:v>0.5998749566192444</x:v>
      </x:c>
      <x:c r="F170" t="n">
        <x:f>(E169+E170)*(A170-A169)/2</x:f>
        <x:v>0.0148245128318874</x:v>
      </x:c>
      <x:c r="G170" t="n">
        <x:f>(A169*E169+A170*E170)*(A170-A169)/2</x:f>
        <x:v>0.12545459435339204</x:v>
      </x:c>
      <x:c r="H170" t="n">
        <x:f>H169+F170/$K$27</x:f>
        <x:v>0.2988281199450222</x:v>
      </x:c>
    </x:row>
    <x:row r="171">
      <x:c r="A171" s="2" t="n">
        <x:v>8.5</x:v>
      </x:c>
      <x:c r="B171" s="3" t="n">
        <x:f>E171/$K$27*0.25</x:f>
        <x:v>0.06472242562786204</x:v>
      </x:c>
      <x:c r="C171" s="3"/>
      <x:c r="D171" s="3"/>
      <x:c r="E171" t="n">
        <x:f>IF(A171&lt;10,EXP(-((LN(10-A171)-$K$33)^2)/(2*$K$34^2))/(10-A171),0)</x:f>
        <x:v>0.6140578819171711</x:v>
      </x:c>
      <x:c r="F171" t="n">
        <x:f>(E170+E171)*(A171-A170)/2</x:f>
        <x:v>0.01517416048170541</x:v>
      </x:c>
      <x:c r="G171" t="n">
        <x:f>(A170*E170+A171*E171)*(A171-A170)/2</x:f>
        <x:v>0.12879290317055248</x:v>
      </x:c>
      <x:c r="H171" t="n">
        <x:f>H170+F171/$K$27</x:f>
        <x:v>0.3052256176543661</x:v>
      </x:c>
    </x:row>
    <x:row r="172">
      <x:c r="A172" s="2" t="n">
        <x:v>8.525</x:v>
      </x:c>
      <x:c r="B172" s="3" t="n">
        <x:f>E172/$K$27*0.25</x:f>
        <x:v>0.06626012806238289</x:v>
      </x:c>
      <x:c r="C172" s="3"/>
      <x:c r="D172" s="3"/>
      <x:c r="E172" t="n">
        <x:f>IF(A172&lt;10,EXP(-((LN(10-A172)-$K$33)^2)/(2*$K$34^2))/(10-A172),0)</x:f>
        <x:v>0.6286469256806093</x:v>
      </x:c>
      <x:c r="F172" t="n">
        <x:f>(E171+E172)*(A172-A171)/2</x:f>
        <x:v>0.015533810094972476</x:v>
      </x:c>
      <x:c r="G172" t="n">
        <x:f>(A171*E171+A172*E172)*(A172-A171)/2</x:f>
        <x:v>0.13223383797154123</x:v>
      </x:c>
      <x:c r="H172" t="n">
        <x:f>H171+F172/$K$27</x:f>
        <x:v>0.31177474533887845</x:v>
      </x:c>
    </x:row>
    <x:row r="173">
      <x:c r="A173" s="2" t="n">
        <x:v>8.55</x:v>
      </x:c>
      <x:c r="B173" s="3" t="n">
        <x:f>E173/$K$27*0.25</x:f>
        <x:v>0.06784193684275729</x:v>
      </x:c>
      <x:c r="C173" s="3"/>
      <x:c r="D173" s="3"/>
      <x:c r="E173" t="n">
        <x:f>IF(A173&lt;10,EXP(-((LN(10-A173)-$K$33)^2)/(2*$K$34^2))/(10-A173),0)</x:f>
        <x:v>0.6436544310367829</x:v>
      </x:c>
      <x:c r="F173" t="n">
        <x:f>(E172+E173)*(A173-A172)/2</x:f>
        <x:v>0.015903766958967627</x:v>
      </x:c>
      <x:c r="G173" t="n">
        <x:f>(A172*E172+A173*E173)*(A173-A172)/2</x:f>
        <x:v>0.13578075533489803</x:v>
      </x:c>
      <x:c r="H173" t="n">
        <x:f>H172+F173/$K$27</x:f>
        <x:v>0.3184798485841355</x:v>
      </x:c>
    </x:row>
    <x:row r="174">
      <x:c r="A174" s="2" t="n">
        <x:v>8.575</x:v>
      </x:c>
      <x:c r="B174" s="3" t="n">
        <x:f>E174/$K$27*0.25</x:f>
        <x:v>0.0694691789152365</x:v>
      </x:c>
      <x:c r="C174" s="3"/>
      <x:c r="D174" s="3"/>
      <x:c r="E174" t="n">
        <x:f>IF(A174&lt;10,EXP(-((LN(10-A174)-$K$33)^2)/(2*$K$34^2))/(10-A174),0)</x:f>
        <x:v>0.6590929874675688</x:v>
      </x:c>
      <x:c r="F174" t="n">
        <x:f>(E173+E174)*(A174-A173)/2</x:f>
        <x:v>0.01628434273130347</x:v>
      </x:c>
      <x:c r="G174" t="n">
        <x:f>(A173*E173+A174*E174)*(A174-A173)/2</x:f>
        <x:v>0.13943709691122827</x:v>
      </x:c>
      <x:c r="H174" t="n">
        <x:f>H173+F174/$K$27</x:f>
        <x:v>0.32534540437203485</x:v>
      </x:c>
    </x:row>
    <x:row r="175">
      <x:c r="A175" s="2" t="n">
        <x:v>8.6</x:v>
      </x:c>
      <x:c r="B175" s="3" t="n">
        <x:f>E175/$K$27*0.25</x:f>
        <x:v>0.07114320491151602</x:v>
      </x:c>
      <x:c r="C175" s="3"/>
      <x:c r="D175" s="3"/>
      <x:c r="E175" t="n">
        <x:f>IF(A175&lt;10,EXP(-((LN(10-A175)-$K$33)^2)/(2*$K$34^2))/(10-A175),0)</x:f>
        <x:v>0.6749754091719118</x:v>
      </x:c>
      <x:c r="F175" t="n">
        <x:f>(E174+E175)*(A175-A174)/2</x:f>
        <x:v>0.016675854957993744</x:v>
      </x:c>
      <x:c r="G175" t="n">
        <x:f>(A174*E174+A175*E175)*(A175-A174)/2</x:f>
        <x:v>0.1432063860801626</x:v>
      </x:c>
      <x:c r="H175" t="n">
        <x:f>H174+F175/$K$27</x:f>
        <x:v>0.3323760235633726</x:v>
      </x:c>
    </x:row>
    <x:row r="176">
      <x:c r="A176" s="2" t="n">
        <x:v>8.625</x:v>
      </x:c>
      <x:c r="B176" s="3" t="n">
        <x:f>E176/$K$27*0.25</x:f>
        <x:v>0.07286538628503386</x:v>
      </x:c>
      <x:c r="C176" s="3"/>
      <x:c r="D176" s="3"/>
      <x:c r="E176" t="n">
        <x:f>IF(A176&lt;10,EXP(-((LN(10-A176)-$K$33)^2)/(2*$K$34^2))/(10-A176),0)</x:f>
        <x:v>0.6913147078962836</x:v>
      </x:c>
      <x:c r="F176" t="n">
        <x:f>(E175+E176)*(A176-A175)/2</x:f>
        <x:v>0.017078626463352686</x:v>
      </x:c>
      <x:c r="G176" t="n">
        <x:f>(A175*E175+A176*E176)*(A176-A175)/2</x:f>
        <x:v>0.1470922234310507</x:v>
      </x:c>
      <x:c r="H176" t="n">
        <x:f>H175+F176/$K$27</x:f>
        <x:v>0.3395764531232002</x:v>
      </x:c>
    </x:row>
    <x:row r="177">
      <x:c r="A177" s="2" t="n">
        <x:v>8.65</x:v>
      </x:c>
      <x:c r="B177" s="3" t="n">
        <x:f>E177/$K$27*0.25</x:f>
        <x:v>0.07463711176458852</x:v>
      </x:c>
      <x:c r="C177" s="3"/>
      <x:c r="D177" s="3"/>
      <x:c r="E177" t="n">
        <x:f>IF(A177&lt;10,EXP(-((LN(10-A177)-$K$33)^2)/(2*$K$34^2))/(10-A177),0)</x:f>
        <x:v>0.7081240592881708</x:v>
      </x:c>
      <x:c r="F177" t="n">
        <x:f>(E176+E177)*(A177-A176)/2</x:f>
        <x:v>0.01749298458980593</x:v>
      </x:c>
      <x:c r="G177" t="n">
        <x:f>(A176*E176+A177*E177)*(A177-A176)/2</x:f>
        <x:v>0.15109828085560367</x:v>
      </x:c>
      <x:c r="H177" t="n">
        <x:f>H176+F177/$K$27</x:f>
        <x:v>0.3469515780256814</x:v>
      </x:c>
    </x:row>
    <x:row r="178">
      <x:c r="A178" s="2" t="n">
        <x:v>8.675</x:v>
      </x:c>
      <x:c r="B178" s="3" t="n">
        <x:f>E178/$K$27*0.25</x:f>
        <x:v>0.0764597830092404</x:v>
      </x:c>
      <x:c r="C178" s="3"/>
      <x:c r="D178" s="3"/>
      <x:c r="E178" t="n">
        <x:f>IF(A178&lt;10,EXP(-((LN(10-A178)-$K$33)^2)/(2*$K$34^2))/(10-A178),0)</x:f>
        <x:v>0.7254167616716929</x:v>
      </x:c>
      <x:c r="F178" t="n">
        <x:f>(E177+E178)*(A178-A177)/2</x:f>
        <x:v>0.01791926026199855</x:v>
      </x:c>
      <x:c r="G178" t="n">
        <x:f>(A177*E177+A178*E178)*(A178-A177)/2</x:f>
        <x:v>0.15522829400430987</x:v>
      </x:c>
      <x:c r="H178" t="n">
        <x:f>H177+F178/$K$27</x:f>
        <x:v>0.35450642276437294</x:v>
      </x:c>
    </x:row>
    <x:row r="179">
      <x:c r="A179" s="2" t="n">
        <x:v>8.7</x:v>
      </x:c>
      <x:c r="B179" s="3" t="n">
        <x:f>E179/$K$27*0.25</x:f>
        <x:v>0.07833480932922314</x:v>
      </x:c>
      <x:c r="C179" s="3"/>
      <x:c r="D179" s="3"/>
      <x:c r="E179" t="n">
        <x:f>IF(A179&lt;10,EXP(-((LN(10-A179)-$K$33)^2)/(2*$K$34^2))/(10-A179),0)</x:f>
        <x:v>0.743206185961933</x:v>
      </x:c>
      <x:c r="F179" t="n">
        <x:f>(E178+E179)*(A179-A178)/2</x:f>
        <x:v>0.01835778684541928</x:v>
      </x:c>
      <x:c r="G179" t="n">
        <x:f>(A178*E178+A179*E179)*(A179-A178)/2</x:f>
        <x:v>0.15948605281712536</x:v>
      </x:c>
      <x:c r="H179" t="n">
        <x:f>H178+F179/$K$27</x:f>
        <x:v>0.3622461523812957</x:v>
      </x:c>
    </x:row>
    <x:row r="180">
      <x:c r="A180" s="2" t="n">
        <x:v>8.725</x:v>
      </x:c>
      <x:c r="B180" s="3" t="n">
        <x:f>E180/$K$27*0.25</x:f>
        <x:v>0.08026360131502437</x:v>
      </x:c>
      <x:c r="C180" s="3"/>
      <x:c r="D180" s="3"/>
      <x:c r="E180" t="n">
        <x:f>IF(A180&lt;10,EXP(-((LN(10-A180)-$K$33)^2)/(2*$K$34^2))/(10-A180),0)</x:f>
        <x:v>0.7615057152204603</x:v>
      </x:c>
      <x:c r="F180" t="n">
        <x:f>(E179+E180)*(A180-A179)/2</x:f>
        <x:v>0.018808898764780185</x:v>
      </x:c>
      <x:c r="G180" t="n">
        <x:f>(A179*E179+A180*E180)*(A180-A179)/2</x:f>
        <x:v>0.16387538978959398</x:v>
      </x:c>
      <x:c r="H180" t="n">
        <x:f>H179+F180/$K$27</x:f>
        <x:v>0.3701760729135082</x:v>
      </x:c>
    </x:row>
    <x:row r="181">
      <x:c r="A181" s="2" t="n">
        <x:v>8.75</x:v>
      </x:c>
      <x:c r="B181" s="3" t="n">
        <x:f>E181/$K$27*0.25</x:f>
        <x:v>0.08224756319028487</x:v>
      </x:c>
      <x:c r="C181" s="3"/>
      <x:c r="D181" s="3"/>
      <x:c r="E181" t="n">
        <x:f>IF(A181&lt;10,EXP(-((LN(10-A181)-$K$33)^2)/(2*$K$34^2))/(10-A181),0)</x:f>
        <x:v>0.7803286721030039</x:v>
      </x:c>
      <x:c r="F181" t="n">
        <x:f>(E180+E181)*(A181-A180)/2</x:f>
        <x:v>0.019272929841543576</x:v>
      </x:c>
      <x:c r="G181" t="n">
        <x:f>(A180*E180+A181*E181)*(A181-A180)/2</x:f>
        <x:v>0.1684001655774999</x:v>
      </x:c>
      <x:c r="H181" t="n">
        <x:f>H180+F181/$K$27</x:f>
        <x:v>0.37830163113877374</x:v>
      </x:c>
    </x:row>
    <x:row r="182">
      <x:c r="A182" s="2" t="n">
        <x:v>8.775</x:v>
      </x:c>
      <x:c r="B182" s="3" t="n">
        <x:f>E182/$K$27*0.25</x:f>
        <x:v>0.08428808367299011</x:v>
      </x:c>
      <x:c r="C182" s="3"/>
      <x:c r="D182" s="3"/>
      <x:c r="E182" t="n">
        <x:f>IF(A182&lt;10,EXP(-((LN(10-A182)-$K$33)^2)/(2*$K$34^2))/(10-A182),0)</x:f>
        <x:v>0.7996882321544614</x:v>
      </x:c>
      <x:c r="F182" t="n">
        <x:f>(E181+E182)*(A182-A181)/2</x:f>
        <x:v>0.0197502113032186</x:v>
      </x:c>
      <x:c r="G182" t="n">
        <x:f>(A181*E181+A182*E182)*(A182-A181)/2</x:f>
        <x:v>0.173064251475711</x:v>
      </x:c>
      <x:c r="H182" t="n">
        <x:f>H181+F182/$K$27</x:f>
        <x:v>0.3866284134819376</x:v>
      </x:c>
    </x:row>
    <x:row r="183">
      <x:c r="A183" s="2" t="n">
        <x:v>8.8</x:v>
      </x:c>
      <x:c r="B183" s="3" t="n">
        <x:f>E183/$K$27*0.25</x:f>
        <x:v>0.08638652509268871</x:v>
      </x:c>
      <x:c r="C183" s="3"/>
      <x:c r="D183" s="3"/>
      <x:c r="E183" t="n">
        <x:f>IF(A183&lt;10,EXP(-((LN(10-A183)-$K$33)^2)/(2*$K$34^2))/(10-A183),0)</x:f>
        <x:v>0.8195973205578582</x:v>
      </x:c>
      <x:c r="F183" t="n">
        <x:f>(E182+E183)*(A183-A182)/2</x:f>
        <x:v>0.020241069408904282</x:v>
      </x:c>
      <x:c r="G183" t="n">
        <x:f>(A182*E182+A183*E183)*(A183-A182)/2</x:f>
        <x:v>0.1778715082258094</x:v>
      </x:c>
      <x:c r="H183" t="n">
        <x:f>H182+F183/$K$27</x:f>
        <x:v>0.39516214392022164</x:v>
      </x:c>
    </x:row>
    <x:row r="184">
      <x:c r="A184" s="2" t="n">
        <x:v>8.825</x:v>
      </x:c>
      <x:c r="B184" s="3" t="n">
        <x:f>E184/$K$27*0.25</x:f>
        <x:v>0.08854421046812927</x:v>
      </x:c>
      <x:c r="C184" s="3"/>
      <x:c r="D184" s="3"/>
      <x:c r="E184" t="n">
        <x:f>IF(A184&lt;10,EXP(-((LN(10-A184)-$K$33)^2)/(2*$K$34^2))/(10-A184),0)</x:f>
        <x:v>0.8400684895326551</x:v>
      </x:c>
      <x:c r="F184" t="n">
        <x:f>(E183+E184)*(A184-A183)/2</x:f>
        <x:v>0.02074582262613024</x:v>
      </x:c>
      <x:c r="G184" t="n">
        <x:f>(A183*E183+A184*E184)*(A184-A183)/2</x:f>
        <x:v>0.18282576051292504</x:v>
      </x:c>
      <x:c r="H184" t="n">
        <x:f>H183+F184/$K$27</x:f>
        <x:v>0.403908680698262</x:v>
      </x:c>
    </x:row>
    <x:row r="185">
      <x:c r="A185" s="2" t="n">
        <x:v>8.85</x:v>
      </x:c>
      <x:c r="B185" s="3" t="n">
        <x:f>E185/$K$27*0.25</x:f>
        <x:v>0.09076240819847602</x:v>
      </x:c>
      <x:c r="C185" s="3"/>
      <x:c r="D185" s="3"/>
      <x:c r="E185" t="n">
        <x:f>IF(A185&lt;10,EXP(-((LN(10-A185)-$K$33)^2)/(2*$K$34^2))/(10-A185),0)</x:f>
        <x:v>0.8611137730917409</x:v>
      </x:c>
      <x:c r="F185" t="n">
        <x:f>(E184+E185)*(A185-A184)/2</x:f>
        <x:v>0.021264778282805253</x:v>
      </x:c>
      <x:c r="G185" t="n">
        <x:f>(A184*E184+A185*E185)*(A185-A184)/2</x:f>
        <x:v>0.18793076639984752</x:v>
      </x:c>
      <x:c r="H185" t="n">
        <x:f>H184+F185/$K$27</x:f>
        <x:v>0.41287401163159243</x:v>
      </x:c>
    </x:row>
    <x:row r="186">
      <x:c r="A186" s="2" t="n">
        <x:v>8.875</x:v>
      </x:c>
      <x:c r="B186" s="3" t="n">
        <x:f>E186/$K$27*0.25</x:f>
        <x:v>0.09304231396060421</x:v>
      </x:c>
      <x:c r="C186" s="3"/>
      <x:c r="D186" s="3"/>
      <x:c r="E186" t="n">
        <x:f>IF(A186&lt;10,EXP(-((LN(10-A186)-$K$33)^2)/(2*$K$34^2))/(10-A186),0)</x:f>
        <x:v>0.8827445152909411</x:v>
      </x:c>
      <x:c r="F186" t="n">
        <x:f>(E185+E186)*(A186-A185)/2</x:f>
        <x:v>0.021798228604783837</x:v>
      </x:c>
      <x:c r="G186" t="n">
        <x:f>(A185*E185+A186*E186)*(A186-A185)/2</x:f>
        <x:v>0.19319018081336536</x:v>
      </x:c>
      <x:c r="H186" t="n">
        <x:f>H185+F186/$K$27</x:f>
        <x:v>0.4220642477395466</x:v>
      </x:c>
    </x:row>
    <x:row r="187">
      <x:c r="A187" s="2" t="n">
        <x:v>8.9</x:v>
      </x:c>
      <x:c r="B187" s="3" t="n">
        <x:f>E187/$K$27*0.25</x:f>
        <x:v>0.09538502933304355</x:v>
      </x:c>
      <x:c r="C187" s="3"/>
      <x:c r="D187" s="3"/>
      <x:c r="E187" t="n">
        <x:f>IF(A187&lt;10,EXP(-((LN(10-A187)-$K$33)^2)/(2*$K$34^2))/(10-A187),0)</x:f>
        <x:v>0.9049711674224029</x:v>
      </x:c>
      <x:c r="F187" t="n">
        <x:f>(E186+E187)*(A187-A186)/2</x:f>
        <x:v>0.022346446033917118</x:v>
      </x:c>
      <x:c r="G187" t="n">
        <x:f>(A186*E186+A187*E187)*(A187-A186)/2</x:f>
        <x:v>0.19860751204083393</x:v>
      </x:c>
      <x:c r="H187" t="n">
        <x:f>H186+F187/$K$27</x:f>
        <x:v>0.4314856149042291</x:v>
      </x:c>
    </x:row>
    <x:row r="188">
      <x:c r="A188" s="2" t="n">
        <x:v>8.925</x:v>
      </x:c>
      <x:c r="B188" s="3" t="n">
        <x:f>E188/$K$27*0.25</x:f>
        <x:v>0.09779153658165417</x:v>
      </x:c>
      <x:c r="C188" s="3"/>
      <x:c r="D188" s="3"/>
      <x:c r="E188" t="n">
        <x:f>IF(A188&lt;10,EXP(-((LN(10-A188)-$K$33)^2)/(2*$K$34^2))/(10-A188),0)</x:f>
        <x:v>0.9278030487921891</x:v>
      </x:c>
      <x:c r="F188" t="n">
        <x:f>(E187+E188)*(A188-A187)/2</x:f>
        <x:v>0.022909677702682728</x:v>
      </x:c>
      <x:c r="G188" t="n">
        <x:f>(A187*E187+A188*E188)*(A188-A187)/2</x:f>
        <x:v>0.20418607000662384</x:v>
      </x:c>
      <x:c r="H188" t="n">
        <x:f>H187+F188/$K$27</x:f>
        <x:v>0.4411444431999641</x:v>
      </x:c>
    </x:row>
    <x:row r="189">
      <x:c r="A189" s="2" t="n">
        <x:v>8.95</x:v>
      </x:c>
      <x:c r="B189" s="3" t="n">
        <x:f>E189/$K$27*0.25</x:f>
        <x:v>0.1002626689403706</x:v>
      </x:c>
      <x:c r="C189" s="3"/>
      <x:c r="D189" s="3"/>
      <x:c r="E189" t="n">
        <x:f>IF(A189&lt;10,EXP(-((LN(10-A189)-$K$33)^2)/(2*$K$34^2))/(10-A189),0)</x:f>
        <x:v>0.95124806475706</x:v>
      </x:c>
      <x:c r="F189" t="n">
        <x:f>(E188+E189)*(A189-A188)/2</x:f>
        <x:v>0.023488138919364278</x:v>
      </x:c>
      <x:c r="G189" t="n">
        <x:f>(A188*E188+A189*E189)*(A189-A188)/2</x:f>
        <x:v>0.20992890487556273</x:v>
      </x:c>
      <x:c r="H189" t="n">
        <x:f>H188+F189/$K$27</x:f>
        <x:v>0.4510471534760648</x:v>
      </x:c>
    </x:row>
    <x:row r="190">
      <x:c r="A190" s="2" t="n">
        <x:v>8.975</x:v>
      </x:c>
      <x:c r="B190" s="3" t="n">
        <x:f>E190/$K$27*0.25</x:f>
        <x:v>0.10279907559898757</x:v>
      </x:c>
      <x:c r="C190" s="3"/>
      <x:c r="D190" s="3"/>
      <x:c r="E190" t="n">
        <x:f>IF(A190&lt;10,EXP(-((LN(10-A190)-$K$33)^2)/(2*$K$34^2))/(10-A190),0)</x:f>
        <x:v>0.9753123745439983</x:v>
      </x:c>
      <x:c r="F190" t="n">
        <x:f>(E189+E190)*(A190-A189)/2</x:f>
        <x:v>0.02408200549126357</x:v>
      </x:c>
      <x:c r="G190" t="n">
        <x:f>(A189*E189+A190*E190)*(A190-A189)/2</x:f>
        <x:v>0.21583873426385397</x:v>
      </x:c>
      <x:c r="H190" t="n">
        <x:f>H189+F190/$K$27</x:f>
        <x:v>0.46120024070303284</x:v>
      </x:c>
    </x:row>
    <x:row r="191">
      <x:c r="A191" s="2" t="n">
        <x:v>9</x:v>
      </x:c>
      <x:c r="B191" s="3" t="n">
        <x:f>E191/$K$27*0.25</x:f>
        <x:v>0.10540118046492611</x:v>
      </x:c>
      <x:c r="C191" s="3"/>
      <x:c r="D191" s="3"/>
      <x:c r="E191" t="n">
        <x:f>IF(A191&lt;10,EXP(-((LN(10-A191)-$K$33)^2)/(2*$K$34^2))/(10-A191),0)</x:f>
        <x:v>1</x:v>
      </x:c>
      <x:c r="F191" t="n">
        <x:f>(E190+E191)*(A191-A190)/2</x:f>
        <x:v>0.024691404681800328</x:v>
      </x:c>
      <x:c r="G191" t="n">
        <x:f>(A190*E190+A191*E191)*(A191-A190)/2</x:f>
        <x:v>0.22191785701915795</x:v>
      </x:c>
      <x:c r="H191" t="n">
        <x:f>H190+F191/$K$27</x:f>
        <x:v>0.47161025350622865</x:v>
      </x:c>
    </x:row>
    <x:row r="192">
      <x:c r="A192" s="2" t="n">
        <x:v>9.025</x:v>
      </x:c>
      <x:c r="B192" s="3" t="n">
        <x:f>E192/$K$27*0.25</x:f>
        <x:v>0.10806913359225334</x:v>
      </x:c>
      <x:c r="C192" s="3"/>
      <x:c r="D192" s="3"/>
      <x:c r="E192" t="n">
        <x:f>IF(A192&lt;10,EXP(-((LN(10-A192)-$K$33)^2)/(2*$K$34^2))/(10-A192),0)</x:f>
        <x:v>1.0253123647719964</x:v>
      </x:c>
      <x:c r="F192" t="n">
        <x:f>(E191+E192)*(A192-A191)/2</x:f>
        <x:v>0.025316404559650313</x:v>
      </x:c>
      <x:c r="G192" t="n">
        <x:f>(A191*E191+A192*E192)*(A192-A191)/2</x:f>
        <x:v>0.2281680511508441</x:v>
      </x:c>
      <x:c r="H192" t="n">
        <x:f>H191+F192/$K$27</x:f>
        <x:v>0.4822837692090878</x:v>
      </x:c>
    </x:row>
    <x:row r="193">
      <x:c r="A193" s="2" t="n">
        <x:v>9.05</x:v>
      </x:c>
      <x:c r="B193" s="3" t="n">
        <x:f>E193/$K$27*0.25</x:f>
        <x:v>0.11080275396283223</x:v>
      </x:c>
      <x:c r="C193" s="3"/>
      <x:c r="D193" s="3"/>
      <x:c r="E193" t="n">
        <x:f>IF(A193&lt;10,EXP(-((LN(10-A193)-$K$33)^2)/(2*$K$34^2))/(10-A193),0)</x:f>
        <x:v>1.0512477514395921</x:v>
      </x:c>
      <x:c r="F193" t="n">
        <x:f>(E192+E193)*(A193-A192)/2</x:f>
        <x:v>0.025957001452645227</x:v>
      </x:c>
      <x:c r="G193" t="n">
        <x:f>(A192*E192+A193*E193)*(A193-A192)/2</x:f>
        <x:v>0.23459045303244808</x:v>
      </x:c>
      <x:c r="H193" t="n">
        <x:f>H192+F193/$K$27</x:f>
        <x:v>0.4932273635868422</x:v>
      </x:c>
    </x:row>
    <x:row r="194">
      <x:c r="A194" s="2" t="n">
        <x:v>9.075</x:v>
      </x:c>
      <x:c r="B194" s="3" t="n">
        <x:f>E194/$K$27*0.25</x:f>
        <x:v>0.1136014620539068</x:v>
      </x:c>
      <x:c r="C194" s="3"/>
      <x:c r="D194" s="3"/>
      <x:c r="E194" t="n">
        <x:f>IF(A194&lt;10,EXP(-((LN(10-A194)-$K$33)^2)/(2*$K$34^2))/(10-A194),0)</x:f>
        <x:v>1.0778006617459988</x:v>
      </x:c>
      <x:c r="F194" t="n">
        <x:f>(E193+E194)*(A194-A193)/2</x:f>
        <x:v>0.026613105164818372</x:v>
      </x:c>
      <x:c r="G194" t="n">
        <x:f>(A193*E193+A194*E194)*(A194-A193)/2</x:f>
        <x:v>0.2411854144484019</x:v>
      </x:c>
      <x:c r="H194" t="n">
        <x:f>H193+F194/$K$27</x:f>
        <x:v>0.5044475743876785</x:v>
      </x:c>
    </x:row>
    <x:row r="195">
      <x:c r="A195" s="2" t="n">
        <x:v>9.1</x:v>
      </x:c>
      <x:c r="B195" s="3" t="n">
        <x:f>E195/$K$27*0.25</x:f>
        <x:v>0.11646420032449595</x:v>
      </x:c>
      <x:c r="C195" s="3"/>
      <x:c r="D195" s="3"/>
      <x:c r="E195" t="n">
        <x:f>IF(A195&lt;10,EXP(-((LN(10-A195)-$K$33)^2)/(2*$K$34^2))/(10-A195),0)</x:f>
        <x:v>1.104961062207944</x:v>
      </x:c>
      <x:c r="F195" t="n">
        <x:f>(E194+E195)*(A195-A194)/2</x:f>
        <x:v>0.02728452154942467</x:v>
      </x:c>
      <x:c r="G195" t="n">
        <x:f>(A194*E194+A195*E195)*(A195-A194)/2</x:f>
        <x:v>0.24795233339296888</x:v>
      </x:c>
      <x:c r="H195" t="n">
        <x:f>H194+F195/$K$27</x:f>
        <x:v>0.5159508575065989</x:v>
      </x:c>
    </x:row>
    <x:row r="196">
      <x:c r="A196" s="2" t="n">
        <x:v>9.125</x:v>
      </x:c>
      <x:c r="B196" s="3" t="n">
        <x:f>E196/$K$27*0.25</x:f>
        <x:v>0.11938933938837946</x:v>
      </x:c>
      <x:c r="C196" s="3"/>
      <x:c r="D196" s="3"/>
      <x:c r="E196" t="n">
        <x:f>IF(A196&lt;10,EXP(-((LN(10-A196)-$K$33)^2)/(2*$K$34^2))/(10-A196),0)</x:f>
        <x:v>1.132713493926267</x:v>
      </x:c>
      <x:c r="F196" t="n">
        <x:f>(E195+E196)*(A196-A195)/2</x:f>
        <x:v>0.027970931951678032</x:v>
      </x:c>
      <x:c r="G196" t="n">
        <x:f>(A195*E195+A196*E196)*(A196-A195)/2</x:f>
        <x:v>0.2548894537271221</x:v>
      </x:c>
      <x:c r="H196" t="n">
        <x:f>H195+F196/$K$27</x:f>
        <x:v>0.5277435344922428</x:v>
      </x:c>
    </x:row>
    <x:row r="197">
      <x:c r="A197" s="2" t="n">
        <x:v>9.15</x:v>
      </x:c>
      <x:c r="B197" s="3" t="n">
        <x:f>E197/$K$27*0.25</x:f>
        <x:v>0.12237456720029406</x:v>
      </x:c>
      <x:c r="C197" s="3"/>
      <x:c r="D197" s="3"/>
      <x:c r="E197" t="n">
        <x:f>IF(A197&lt;10,EXP(-((LN(10-A197)-$K$33)^2)/(2*$K$34^2))/(10-A197),0)</x:f>
        <x:v>1.1610360212333306</x:v>
      </x:c>
      <x:c r="F197" t="n">
        <x:f>(E196+E197)*(A197-A196)/2</x:f>
        <x:v>0.028671868939495377</x:v>
      </x:c>
      <x:c r="G197" t="n">
        <x:f>(A196*E196+A197*E197)*(A197-A196)/2</x:f>
        <x:v>0.2619936278295308</x:v>
      </x:c>
      <x:c r="H197" t="n">
        <x:f>H196+F197/$K$27</x:f>
        <x:v>0.5398317298216766</x:v>
      </x:c>
    </x:row>
    <x:row r="198">
      <x:c r="A198" s="2" t="n">
        <x:v>9.175</x:v>
      </x:c>
      <x:c r="B198" s="3" t="n">
        <x:f>E198/$K$27*0.25</x:f>
        <x:v>0.12541675804699232</x:v>
      </x:c>
      <x:c r="C198" s="3"/>
      <x:c r="D198" s="3"/>
      <x:c r="E198" t="n">
        <x:f>IF(A198&lt;10,EXP(-((LN(10-A198)-$K$33)^2)/(2*$K$34^2))/(10-A198),0)</x:f>
        <x:v>1.1898989887378606</x:v>
      </x:c>
      <x:c r="F198" t="n">
        <x:f>(E197+E198)*(A198-A197)/2</x:f>
        <x:v>0.029386687624640306</x:v>
      </x:c>
      <x:c r="G198" t="n">
        <x:f>(A197*E197+A198*E198)*(A198-A197)/2</x:f>
        <x:v>0.2692600351994394</x:v>
      </x:c>
      <x:c r="H198" t="n">
        <x:f>H197+F198/$K$27</x:f>
        <x:v>0.5522212960840411</x:v>
      </x:c>
    </x:row>
    <x:row r="199">
      <x:c r="A199" s="2" t="n">
        <x:v>9.2</x:v>
      </x:c>
      <x:c r="B199" s="3" t="n">
        <x:f>E199/$K$27*0.25</x:f>
        <x:v>0.12851181748482002</x:v>
      </x:c>
      <x:c r="C199" s="3"/>
      <x:c r="D199" s="3"/>
      <x:c r="E199" t="n">
        <x:f>IF(A199&lt;10,EXP(-((LN(10-A199)-$K$33)^2)/(2*$K$34^2))/(10-A199),0)</x:f>
        <x:v>1.2192635501609428</x:v>
      </x:c>
      <x:c r="F199" t="n">
        <x:f>(E198+E199)*(A199-A198)/2</x:f>
        <x:v>0.030114531736233328</x:v>
      </x:c>
      <x:c r="G199" t="n">
        <x:f>(A198*E198+A199*E199)*(A199-A198)/2</x:f>
        <x:v>0.2766818485393661</x:v>
      </x:c>
      <x:c r="H199" t="n">
        <x:f>H198+F199/$K$27</x:f>
        <x:v>0.5649177248606311</x:v>
      </x:c>
    </x:row>
    <x:row r="200">
      <x:c r="A200" s="2" t="n">
        <x:v>9.225</x:v>
      </x:c>
      <x:c r="B200" s="3" t="n">
        <x:f>E200/$K$27*0.25</x:f>
        <x:v>0.13165449857415476</x:v>
      </x:c>
      <x:c r="C200" s="3"/>
      <x:c r="D200" s="3"/>
      <x:c r="E200" t="n">
        <x:f>IF(A200&lt;10,EXP(-((LN(10-A200)-$K$33)^2)/(2*$K$34^2))/(10-A200),0)</x:f>
        <x:v>1.2490799248492748</x:v>
      </x:c>
      <x:c r="F200" t="n">
        <x:f>(E199+E200)*(A200-A199)/2</x:f>
        <x:v>0.03085429343762816</x:v>
      </x:c>
      <x:c r="G200" t="n">
        <x:f>(A199*E199+A200*E200)*(A200-A199)/2</x:f>
        <x:v>0.28424983710269447</x:v>
      </x:c>
      <x:c r="H200" t="n">
        <x:f>H199+F200/$K$27</x:f>
        <x:v>0.57792604066358</x:v>
      </x:c>
    </x:row>
    <x:row r="201">
      <x:c r="A201" s="2" t="n">
        <x:v>9.25</x:v>
      </x:c>
      <x:c r="B201" s="3" t="n">
        <x:f>E201/$K$27*0.25</x:f>
        <x:v>0.13483818379595883</x:v>
      </x:c>
      <x:c r="C201" s="3"/>
      <x:c r="D201" s="3"/>
      <x:c r="E201" t="n">
        <x:f>IF(A201&lt;10,EXP(-((LN(10-A201)-$K$33)^2)/(2*$K$34^2))/(10-A201),0)</x:f>
        <x:v>1.279285328695425</x:v>
      </x:c>
      <x:c r="F201" t="n">
        <x:f>(E200+E201)*(A201-A200)/2</x:f>
        <x:v>0.0316045656693092</x:v>
      </x:c>
      <x:c r="G201" t="n">
        <x:f>(A200*E200+A201*E201)*(A201-A200)/2</x:f>
        <x:v>0.29195189496459467</x:v>
      </x:c>
      <x:c r="H201" t="n">
        <x:f>H200+F201/$K$27</x:f>
        <x:v>0.5912506747820858</x:v>
      </x:c>
    </x:row>
    <x:row r="202">
      <x:c r="A202" s="2" t="n">
        <x:v>9.275</x:v>
      </x:c>
      <x:c r="B202" s="3" t="n">
        <x:f>E202/$K$27*0.25</x:f>
        <x:v>0.13805462585681152</x:v>
      </x:c>
      <x:c r="C202" s="3"/>
      <x:c r="D202" s="3"/>
      <x:c r="E202" t="n">
        <x:f>IF(A202&lt;10,EXP(-((LN(10-A202)-$K$33)^2)/(2*$K$34^2))/(10-A202),0)</x:f>
        <x:v>1.3098015150100843</x:v>
      </x:c>
      <x:c r="F202" t="n">
        <x:f>(E201+E202)*(A202-A201)/2</x:f>
        <x:v>0.03236358554631933</x:v>
      </x:c>
      <x:c r="G202" t="n">
        <x:f>(A201*E201+A202*E202)*(A202-A201)/2</x:f>
        <x:v>0.29977247927689443</x:v>
      </x:c>
      <x:c r="H202" t="n">
        <x:f>H201+F202/$K$27</x:f>
        <x:v>0.6048953152647245</x:v>
      </x:c>
    </x:row>
    <x:row r="203">
      <x:c r="A203" s="2" t="n">
        <x:v>9.3</x:v>
      </x:c>
      <x:c r="B203" s="3" t="n">
        <x:f>E203/$K$27*0.25</x:f>
        <x:v>0.14129363914681953</x:v>
      </x:c>
      <x:c r="C203" s="3"/>
      <x:c r="D203" s="3"/>
      <x:c r="E203" t="n">
        <x:f>IF(A203&lt;10,EXP(-((LN(10-A203)-$K$33)^2)/(2*$K$34^2))/(10-A203),0)</x:f>
        <x:v>1.340531847210546</x:v>
      </x:c>
      <x:c r="F203" t="n">
        <x:f>(E202+E203)*(A203-A202)/2</x:f>
        <x:v>0.033129167027758345</x:v>
      </x:c>
      <x:c r="G203" t="n">
        <x:f>(A202*E202+A203*E203)*(A203-A202)/2</x:f>
        <x:v>0.30769194038471204</x:v>
      </x:c>
      <x:c r="H203" t="n">
        <x:f>H202+F203/$K$27</x:f>
        <x:v>0.6188627285149062</x:v>
      </x:c>
    </x:row>
    <x:row r="204">
      <x:c r="A204" s="2" t="n">
        <x:v>9.325</x:v>
      </x:c>
      <x:c r="B204" s="3" t="n">
        <x:f>E204/$K$27*0.25</x:f>
        <x:v>0.1445427318495006</x:v>
      </x:c>
      <x:c r="C204" s="3"/>
      <x:c r="D204" s="3"/>
      <x:c r="E204" t="n">
        <x:f>IF(A204&lt;10,EXP(-((LN(10-A204)-$K$33)^2)/(2*$K$34^2))/(10-A204),0)</x:f>
        <x:v>1.3713578084412388</x:v>
      </x:c>
      <x:c r="F204" t="n">
        <x:f>(E203+E204)*(A204-A203)/2</x:f>
        <x:v>0.03389862069564538</x:v>
      </x:c>
      <x:c r="G204" t="n">
        <x:f>(A203*E203+A204*E204)*(A204-A203)/2</x:f>
        <x:v>0.31568572178463994</x:v>
      </x:c>
      <x:c r="H204" t="n">
        <x:f>H203+F204/$K$27</x:f>
        <x:v>0.6331545470647214</x:v>
      </x:c>
    </x:row>
    <x:row r="205">
      <x:c r="A205" s="2" t="n">
        <x:v>9.35</x:v>
      </x:c>
      <x:c r="B205" s="3" t="n">
        <x:f>E205/$K$27*0.25</x:f>
        <x:v>0.14778666654088013</x:v>
      </x:c>
      <x:c r="C205" s="3"/>
      <x:c r="D205" s="3"/>
      <x:c r="E205" t="n">
        <x:f>IF(A205&lt;10,EXP(-((LN(10-A205)-$K$33)^2)/(2*$K$34^2))/(10-A205),0)</x:f>
        <x:v>1.4021348327313892</x:v>
      </x:c>
      <x:c r="F205" t="n">
        <x:f>(E204+E205)*(A205-A204)/2</x:f>
        <x:v>0.03466865801465834</x:v>
      </x:c>
      <x:c r="G205" t="n">
        <x:f>(A204*E204+A205*E205)*(A205-A204)/2</x:f>
        <x:v>0.32372340312191755</x:v>
      </x:c>
      <x:c r="H205" t="n">
        <x:f>H204+F205/$K$27</x:f>
        <x:v>0.6477710169842407</x:v>
      </x:c>
    </x:row>
    <x:row r="206">
      <x:c r="A206" s="2" t="n">
        <x:v>9.375</x:v>
      </x:c>
      <x:c r="B206" s="3" t="n">
        <x:f>E206/$K$27*0.25</x:f>
        <x:v>0.15100693446884206</x:v>
      </x:c>
      <x:c r="C206" s="3"/>
      <x:c r="D206" s="3"/>
      <x:c r="E206" t="n">
        <x:f>IF(A206&lt;10,EXP(-((LN(10-A206)-$K$33)^2)/(2*$K$34^2))/(10-A206),0)</x:f>
        <x:v>1.4326873171889376</x:v>
      </x:c>
      <x:c r="F206" t="n">
        <x:f>(E205+E206)*(A206-A205)/2</x:f>
        <x:v>0.035435276874004586</x:v>
      </x:c>
      <x:c r="G206" t="n">
        <x:f>(A205*E205+A206*E206)*(A206-A205)/2</x:f>
        <x:v>0.3317675535585644</x:v>
      </x:c>
      <x:c r="H206" t="n">
        <x:f>H205+F206/$K$27</x:f>
        <x:v>0.662710697034727</x:v>
      </x:c>
    </x:row>
    <x:row r="207">
      <x:c r="A207" s="2" t="n">
        <x:v>9.4</x:v>
      </x:c>
      <x:c r="B207" s="3" t="n">
        <x:f>E207/$K$27*0.25</x:f>
        <x:v>0.1541811254700724</x:v>
      </x:c>
      <x:c r="C207" s="3"/>
      <x:c r="D207" s="3"/>
      <x:c r="E207" t="n">
        <x:f>IF(A207&lt;10,EXP(-((LN(10-A207)-$K$33)^2)/(2*$K$34^2))/(10-A207),0)</x:f>
        <x:v>1.4628026440498794</x:v>
      </x:c>
      <x:c r="F207" t="n">
        <x:f>(E206+E207)*(A207-A206)/2</x:f>
        <x:v>0.036193624515485724</x:v>
      </x:c>
      <x:c r="G207" t="n">
        <x:f>(A206*E206+A207*E207)*(A207-A206)/2</x:f>
        <x:v>0.3397723556589443</x:v>
      </x:c>
      <x:c r="H207" t="n">
        <x:f>H206+F207/$K$27</x:f>
        <x:v>0.6779701000316729</x:v>
      </x:c>
    </x:row>
    <x:row r="208">
      <x:c r="A208" s="2" t="n">
        <x:v>9.425</x:v>
      </x:c>
      <x:c r="B208" s="3" t="n">
        <x:f>E208/$K$27*0.25</x:f>
        <x:v>0.15728217154331137</x:v>
      </x:c>
      <x:c r="C208" s="3"/>
      <x:c r="D208" s="3"/>
      <x:c r="E208" t="n">
        <x:f>IF(A208&lt;10,EXP(-((LN(10-A208)-$K$33)^2)/(2*$K$34^2))/(10-A208),0)</x:f>
        <x:v>1.492224004034276</x:v>
      </x:c>
      <x:c r="F208" t="n">
        <x:f>(E207+E208)*(A208-A207)/2</x:f>
        <x:v>0.03693783310105247</x:v>
      </x:c>
      <x:c r="G208" t="n">
        <x:f>(A207*E207+A208*E208)*(A208-A207)/2</x:f>
        <x:v>0.3476819511511539</x:v>
      </x:c>
      <x:c r="H208" t="n">
        <x:f>H207+F208/$K$27</x:f>
        <x:v>0.6935432648823423</x:v>
      </x:c>
    </x:row>
    <x:row r="209">
      <x:c r="A209" s="2" t="n">
        <x:v>9.45</x:v>
      </x:c>
      <x:c r="B209" s="3" t="n">
        <x:f>E209/$K$27*0.25</x:f>
        <x:v>0.16027743732808458</x:v>
      </x:c>
      <x:c r="C209" s="3"/>
      <x:c r="D209" s="3"/>
      <x:c r="E209" t="n">
        <x:f>IF(A209&lt;10,EXP(-((LN(10-A209)-$K$33)^2)/(2*$K$34^2))/(10-A209),0)</x:f>
        <x:v>1.520641767208854</x:v>
      </x:c>
      <x:c r="F209" t="n">
        <x:f>(E208+E209)*(A209-A208)/2</x:f>
        <x:v>0.03766082214053698</x:v>
      </x:c>
      <x:c r="G209" t="n">
        <x:f>(A208*E208+A209*E209)*(A209-A208)/2</x:f>
        <x:v>0.35542844922681377</x:v>
      </x:c>
      <x:c r="H209" t="n">
        <x:f>H208+F209/$K$27</x:f>
        <x:v>0.7094212453259112</x:v>
      </x:c>
    </x:row>
    <x:row r="210">
      <x:c r="A210" s="2" t="n">
        <x:v>9.475</x:v>
      </x:c>
      <x:c r="B210" s="3" t="n">
        <x:f>E210/$K$27*0.25</x:f>
        <x:v>0.16312762501707817</x:v>
      </x:c>
      <x:c r="C210" s="3"/>
      <x:c r="D210" s="3"/>
      <x:c r="E210" t="n">
        <x:f>IF(A210&lt;10,EXP(-((LN(10-A210)-$K$33)^2)/(2*$K$34^2))/(10-A210),0)</x:f>
        <x:v>1.5476830932777024</x:v>
      </x:c>
      <x:c r="F210" t="n">
        <x:f>(E209+E210)*(A210-A209)/2</x:f>
        <x:v>0.0383540607560825</x:v>
      </x:c>
      <x:c r="G210" t="n">
        <x:f>(A209*E209+A210*E210)*(A210-A209)/2</x:f>
        <x:v>0.36292952511162885</x:v>
      </x:c>
      <x:c r="H210" t="n">
        <x:f>H209+F210/$K$27</x:f>
        <x:v>0.7255914984431696</x:v>
      </x:c>
    </x:row>
    <x:row r="211">
      <x:c r="A211" s="2" t="n">
        <x:v>9.5</x:v>
      </x:c>
      <x:c r="B211" s="3" t="n">
        <x:f>E211/$K$27*0.25</x:f>
        <x:v>0.16578545447370743</x:v>
      </x:c>
      <x:c r="C211" s="3"/>
      <x:c r="D211" s="3"/>
      <x:c r="E211" t="n">
        <x:f>IF(A211&lt;10,EXP(-((LN(10-A211)-$K$33)^2)/(2*$K$34^2))/(10-A211),0)</x:f>
        <x:v>1.5728994091188109</x:v>
      </x:c>
      <x:c r="F211" t="n">
        <x:f>(E210+E211)*(A211-A210)/2</x:f>
        <x:v>0.03900728127995697</x:v>
      </x:c>
      <x:c r="G211" t="n">
        <x:f>(A210*E210+A211*E211)*(A211-A210)/2</x:f>
        <x:v>0.3700855211929419</x:v>
      </x:c>
      <x:c r="H211" t="n">
        <x:f>H210+F211/$K$27</x:f>
        <x:v>0.7420371524177092</x:v>
      </x:c>
    </x:row>
    <x:row r="212">
      <x:c r="A212" s="2" t="n">
        <x:v>9.525</x:v>
      </x:c>
      <x:c r="B212" s="3" t="n">
        <x:f>E212/$K$27*0.25</x:f>
        <x:v>0.16819407154901406</x:v>
      </x:c>
      <x:c r="C212" s="3"/>
      <x:c r="D212" s="3"/>
      <x:c r="E212" t="n">
        <x:f>IF(A212&lt;10,EXP(-((LN(10-A212)-$K$33)^2)/(2*$K$34^2))/(10-A212),0)</x:f>
        <x:v>1.5957513075954899</x:v>
      </x:c>
      <x:c r="F212" t="n">
        <x:f>(E211+E212)*(A212-A211)/2</x:f>
        <x:v>0.03960813395892932</x:v>
      </x:c>
      <x:c r="G212" t="n">
        <x:f>(A211*E211+A212*E212)*(A212-A211)/2</x:f>
        <x:v>0.3767759448934522</x:v>
      </x:c>
      <x:c r="H212" t="n">
        <x:f>H211+F212/$K$27</x:f>
        <x:v>0.7587361287188454</x:v>
      </x:c>
    </x:row>
    <x:row r="213">
      <x:c r="A213" s="2" t="n">
        <x:v>9.55</x:v>
      </x:c>
      <x:c r="B213" s="3" t="n">
        <x:f>E213/$K$27*0.25</x:f>
        <x:v>0.1702851290300137</x:v>
      </x:c>
      <x:c r="C213" s="3"/>
      <x:c r="D213" s="3"/>
      <x:c r="E213" t="n">
        <x:f>IF(A213&lt;10,EXP(-((LN(10-A213)-$K$33)^2)/(2*$K$34^2))/(10-A213),0)</x:f>
        <x:v>1.6155903404391065</x:v>
      </x:c>
      <x:c r="F213" t="n">
        <x:f>(E212+E213)*(A213-A212)/2</x:f>
        <x:v>0.04014177060043303</x:v>
      </x:c>
      <x:c r="G213" t="n">
        <x:f>(A212*E212+A213*E213)*(A213-A212)/2</x:f>
        <x:v>0.3828552369505118</x:v>
      </x:c>
      <x:c r="H213" t="n">
        <x:f>H212+F213/$K$27</x:f>
        <x:v>0.775660088747797</x:v>
      </x:c>
    </x:row>
    <x:row r="214">
      <x:c r="A214" s="2" t="n">
        <x:v>9.575</x:v>
      </x:c>
      <x:c r="B214" s="3" t="n">
        <x:f>E214/$K$27*0.25</x:f>
        <x:v>0.17197647599836957</x:v>
      </x:c>
      <x:c r="C214" s="3"/>
      <x:c r="D214" s="3"/>
      <x:c r="E214" t="n">
        <x:f>IF(A214&lt;10,EXP(-((LN(10-A214)-$K$33)^2)/(2*$K$34^2))/(10-A214),0)</x:f>
        <x:v>1.6316370959013826</x:v>
      </x:c>
      <x:c r="F214" t="n">
        <x:f>(E213+E214)*(A214-A213)/2</x:f>
        <x:v>0.04059034295425381</x:v>
      </x:c>
      <x:c r="G214" t="n">
        <x:f>(A213*E213+A214*E214)*(A214-A213)/2</x:f>
        <x:v>0.38814766180559296</x:v>
      </x:c>
      <x:c r="H214" t="n">
        <x:f>H213+F214/$K$27</x:f>
        <x:v>0.7927731689992152</x:v>
      </x:c>
    </x:row>
    <x:row r="215">
      <x:c r="A215" s="2" t="n">
        <x:v>9.6</x:v>
      </x:c>
      <x:c r="B215" s="3" t="n">
        <x:f>E215/$K$27*0.25</x:f>
        <x:v>0.1731693842349635</x:v>
      </x:c>
      <x:c r="C215" s="3"/>
      <x:c r="D215" s="3"/>
      <x:c r="E215" t="n">
        <x:f>IF(A215&lt;10,EXP(-((LN(10-A215)-$K$33)^2)/(2*$K$34^2))/(10-A215),0)</x:f>
        <x:v>1.6429548841019699</x:v>
      </x:c>
      <x:c r="F215" t="n">
        <x:f>(E214+E215)*(A215-A214)/2</x:f>
        <x:v>0.04093239975004249</x:v>
      </x:c>
      <x:c r="G215" t="n">
        <x:f>(A214*E214+A215*E215)*(A215-A214)/2</x:f>
        <x:v>0.39244115100793864</x:v>
      </x:c>
      <x:c r="H215" t="n">
        <x:f>H214+F215/$K$27</x:f>
        <x:v>0.8100304620108821</x:v>
      </x:c>
    </x:row>
    <x:row r="216">
      <x:c r="A216" s="2" t="n">
        <x:v>9.625</x:v>
      </x:c>
      <x:c r="B216" s="3" t="n">
        <x:f>E216/$K$27*0.25</x:f>
        <x:v>0.17374523804455017</x:v>
      </x:c>
      <x:c r="C216" s="3"/>
      <x:c r="D216" s="3"/>
      <x:c r="E216" t="n">
        <x:f>IF(A216&lt;10,EXP(-((LN(10-A216)-$K$33)^2)/(2*$K$34^2))/(10-A216),0)</x:f>
        <x:v>1.6484183315419945</x:v>
      </x:c>
      <x:c r="F216" t="n">
        <x:f>(E215+E216)*(A216-A215)/2</x:f>
        <x:v>0.04114216519555013</x:v>
      </x:c>
      <x:c r="G216" t="n">
        <x:f>(A215*E215+A216*E216)*(A216-A215)/2</x:f>
        <x:v>0.3954799166058882</x:v>
      </x:c>
      <x:c r="H216" t="n">
        <x:f>H215+F216/$K$27</x:f>
        <x:v>0.8273761931248581</x:v>
      </x:c>
    </x:row>
    <x:row r="217">
      <x:c r="A217" s="2" t="n">
        <x:v>9.65</x:v>
      </x:c>
      <x:c r="B217" s="3" t="n">
        <x:f>E217/$K$27*0.25</x:f>
        <x:v>0.17356162330153152</x:v>
      </x:c>
      <x:c r="C217" s="3"/>
      <x:c r="D217" s="3"/>
      <x:c r="E217" t="n">
        <x:f>IF(A217&lt;10,EXP(-((LN(10-A217)-$K$33)^2)/(2*$K$34^2))/(10-A217),0)</x:f>
        <x:v>1.6466762756920625</x:v>
      </x:c>
      <x:c r="F217" t="n">
        <x:f>(E216+E217)*(A217-A216)/2</x:f>
        <x:v>0.041188682590426295</x:v>
      </x:c>
      <x:c r="G217" t="n">
        <x:f>(A216*E216+A217*E217)*(A217-A216)/2</x:f>
        <x:v>0.3969556562690069</x:v>
      </x:c>
      <x:c r="H217" t="n">
        <x:f>H216+F217/$K$27</x:f>
        <x:v>0.8447415361921624</x:v>
      </x:c>
    </x:row>
    <x:row r="218">
      <x:c r="A218" s="2" t="n">
        <x:v>9.675</x:v>
      </x:c>
      <x:c r="B218" s="3" t="n">
        <x:f>E218/$K$27*0.25</x:f>
        <x:v>0.1724477861167247</x:v>
      </x:c>
      <x:c r="C218" s="3"/>
      <x:c r="D218" s="3"/>
      <x:c r="E218" t="n">
        <x:f>IF(A218&lt;10,EXP(-((LN(10-A218)-$K$33)^2)/(2*$K$34^2))/(10-A218),0)</x:f>
        <x:v>1.6361086788217651</x:v>
      </x:c>
      <x:c r="F218" t="n">
        <x:f>(E217+E218)*(A218-A217)/2</x:f>
        <x:v>0.04103481193142343</x:v>
      </x:c>
      <x:c r="G218" t="n">
        <x:f>(A217*E217+A218*E218)*(A218-A217)/2</x:f>
        <x:v>0.39649721910036795</x:v>
      </x:c>
      <x:c r="H218" t="n">
        <x:f>H217+F218/$K$27</x:f>
        <x:v>0.8620420066630755</x:v>
      </x:c>
    </x:row>
    <x:row r="219">
      <x:c r="A219" s="2" t="n">
        <x:v>9.7</x:v>
      </x:c>
      <x:c r="B219" s="3" t="n">
        <x:f>E219/$K$27*0.25</x:f>
        <x:v>0.17019951787683826</x:v>
      </x:c>
      <x:c r="C219" s="3"/>
      <x:c r="D219" s="3"/>
      <x:c r="E219" t="n">
        <x:f>IF(A219&lt;10,EXP(-((LN(10-A219)-$K$33)^2)/(2*$K$34^2))/(10-A219),0)</x:f>
        <x:v>1.6147780995059615</x:v>
      </x:c>
      <x:c r="F219" t="n">
        <x:f>(E218+E219)*(A219-A218)/2</x:f>
        <x:v>0.040636084729094274</x:v>
      </x:c>
      <x:c r="G219" t="n">
        <x:f>(A218*E218+A219*E219)*(A219-A218)/2</x:f>
        <x:v>0.39365873791008266</x:v>
      </x:c>
      <x:c r="H219" t="n">
        <x:f>H218+F219/$K$27</x:f>
        <x:v>0.8791743718627527</x:v>
      </x:c>
    </x:row>
    <x:row r="220">
      <x:c r="A220" s="2" t="n">
        <x:v>9.725</x:v>
      </x:c>
      <x:c r="B220" s="3" t="n">
        <x:f>E220/$K$27*0.25</x:f>
        <x:v>0.16657371414007502</x:v>
      </x:c>
      <x:c r="C220" s="3"/>
      <x:c r="D220" s="3"/>
      <x:c r="E220" t="n">
        <x:f>IF(A220&lt;10,EXP(-((LN(10-A220)-$K$33)^2)/(2*$K$34^2))/(10-A220),0)</x:f>
        <x:v>1.5803780698215713</x:v>
      </x:c>
      <x:c r="F220" t="n">
        <x:f>(E219+E220)*(A220-A219)/2</x:f>
        <x:v>0.03993945211659473</x:v>
      </x:c>
      <x:c r="G220" t="n">
        <x:f>(A219*E219+A220*E220)*(A220-A219)/2</x:f>
        <x:v>0.3879065536777881</x:v>
      </x:c>
      <x:c r="H220" t="n">
        <x:f>H219+F220/$K$27</x:f>
        <x:v>0.8960130334635986</x:v>
      </x:c>
    </x:row>
    <x:row r="221">
      <x:c r="A221" s="2" t="n">
        <x:v>9.75</x:v>
      </x:c>
      <x:c r="B221" s="3" t="n">
        <x:f>E221/$K$27*0.25</x:f>
        <x:v>0.16128325535708193</x:v>
      </x:c>
      <x:c r="C221" s="3"/>
      <x:c r="D221" s="3"/>
      <x:c r="E221" t="n">
        <x:f>IF(A221&lt;10,EXP(-((LN(10-A221)-$K$33)^2)/(2*$K$34^2))/(10-A221),0)</x:f>
        <x:v>1.5301845258815812</x:v>
      </x:c>
      <x:c r="F221" t="n">
        <x:f>(E220+E221)*(A221-A220)/2</x:f>
        <x:v>0.03888203244628996</x:v>
      </x:c>
      <x:c r="G221" t="n">
        <x:f>(A220*E220+A221*E221)*(A221-A220)/2</x:f>
        <x:v>0.3786059482045078</x:v>
      </x:c>
      <x:c r="H221" t="n">
        <x:f>H220+F221/$K$27</x:f>
        <x:v>0.9124058819384567</x:v>
      </x:c>
    </x:row>
    <x:row r="222">
      <x:c r="A222" s="2" t="n">
        <x:v>9.775</x:v>
      </x:c>
      <x:c r="B222" s="3" t="n">
        <x:f>E222/$K$27*0.25</x:f>
        <x:v>0.1539936822115652</x:v>
      </x:c>
      <x:c r="C222" s="3"/>
      <x:c r="D222" s="3"/>
      <x:c r="E222" t="n">
        <x:f>IF(A222&lt;10,EXP(-((LN(10-A222)-$K$33)^2)/(2*$K$34^2))/(10-A222),0)</x:f>
        <x:v>1.4610242649304008</x:v>
      </x:c>
      <x:c r="F222" t="n">
        <x:f>(E221+E222)*(A222-A221)/2</x:f>
        <x:v>0.037390109885150305</x:v>
      </x:c>
      <x:c r="G222" t="n">
        <x:f>(A221*E221+A222*E222)*(A222-A221)/2</x:f>
        <x:v>0.36501014146300625</x:v>
      </x:c>
      <x:c r="H222" t="n">
        <x:f>H221+F222/$K$27</x:f>
        <x:v>0.9281697288168893</x:v>
      </x:c>
    </x:row>
    <x:row r="223">
      <x:c r="A223" s="2" t="n">
        <x:v>9.8</x:v>
      </x:c>
      <x:c r="B223" s="3" t="n">
        <x:f>E223/$K$27*0.25</x:f>
        <x:v>0.14432483408386057</x:v>
      </x:c>
      <x:c r="C223" s="3"/>
      <x:c r="D223" s="3"/>
      <x:c r="E223" t="n">
        <x:f>IF(A223&lt;10,EXP(-((LN(10-A223)-$K$33)^2)/(2*$K$34^2))/(10-A223),0)</x:f>
        <x:v>1.3692904903649243</x:v>
      </x:c>
      <x:c r="F223" t="n">
        <x:f>(E222+E223)*(A223-A222)/2</x:f>
        <x:v>0.03537893444119207</x:v>
      </x:c>
      <x:c r="G223" t="n">
        <x:f>(A222*E222+A223*E223)*(A223-A222)/2</x:f>
        <x:v>0.3462569874408915</x:v>
      </x:c>
      <x:c r="H223" t="n">
        <x:f>H222+F223/$K$27</x:f>
        <x:v>0.9430856546316608</x:v>
      </x:c>
    </x:row>
    <x:row r="224">
      <x:c r="A224" s="2" t="n">
        <x:v>9.825</x:v>
      </x:c>
      <x:c r="B224" s="3" t="n">
        <x:f>E224/$K$27*0.25</x:f>
        <x:v>0.13186413889807205</x:v>
      </x:c>
      <x:c r="C224" s="3"/>
      <x:c r="D224" s="3"/>
      <x:c r="E224" t="n">
        <x:f>IF(A224&lt;10,EXP(-((LN(10-A224)-$K$33)^2)/(2*$K$34^2))/(10-A224),0)</x:f>
        <x:v>1.2510688999536577</x:v>
      </x:c>
      <x:c r="F224" t="n">
        <x:f>(E223+E224)*(A224-A223)/2</x:f>
        <x:v>0.03275449237898041</x:v>
      </x:c>
      <x:c r="G224" t="n">
        <x:f>(A223*E223+A224*E224)*(A224-A223)/2</x:f>
        <x:v>0.32138498434524354</x:v>
      </x:c>
      <x:c r="H224" t="n">
        <x:f>H223+F224/$K$27</x:f>
        <x:v>0.9568951032807567</x:v>
      </x:c>
    </x:row>
    <x:row r="225">
      <x:c r="A225" s="2" t="n">
        <x:v>9.85</x:v>
      </x:c>
      <x:c r="B225" s="3" t="n">
        <x:f>E225/$K$27*0.25</x:f>
        <x:v>0.11620567742003679</x:v>
      </x:c>
      <x:c r="C225" s="3"/>
      <x:c r="D225" s="3"/>
      <x:c r="E225" t="n">
        <x:f>IF(A225&lt;10,EXP(-((LN(10-A225)-$K$33)^2)/(2*$K$34^2))/(10-A225),0)</x:f>
        <x:v>1.1025083106987217</x:v>
      </x:c>
      <x:c r="F225" t="n">
        <x:f>(E224+E225)*(A225-A224)/2</x:f>
        <x:v>0.029419715133155163</x:v>
      </x:c>
      <x:c r="G225" t="n">
        <x:f>(A224*E224+A225*E225)*(A225-A224)/2</x:f>
        <x:v>0.28939323503034275</x:v>
      </x:c>
      <x:c r="H225" t="n">
        <x:f>H224+F225/$K$27</x:f>
        <x:v>0.9692985940966623</x:v>
      </x:c>
    </x:row>
    <x:row r="226">
      <x:c r="A226" s="2" t="n">
        <x:v>9.875</x:v>
      </x:c>
      <x:c r="B226" s="3" t="n">
        <x:f>E226/$K$27*0.25</x:f>
        <x:v>0.09704519666157808</x:v>
      </x:c>
      <x:c r="C226" s="3"/>
      <x:c r="D226" s="3"/>
      <x:c r="E226" t="n">
        <x:f>IF(A226&lt;10,EXP(-((LN(10-A226)-$K$33)^2)/(2*$K$34^2))/(10-A226),0)</x:f>
        <x:v>0.9207221041881157</x:v>
      </x:c>
      <x:c r="F226" t="n">
        <x:f>(E225+E226)*(A226-A225)/2</x:f>
        <x:v>0.02529038018608583</x:v>
      </x:c>
      <x:c r="G226" t="n">
        <x:f>(A225*E225+A226*E226)*(A226-A225)/2</x:f>
        <x:v>0.24939797049050416</x:v>
      </x:c>
      <x:c r="H226" t="n">
        <x:f>H225+F226/$K$27</x:f>
        <x:v>0.9799611378007432</x:v>
      </x:c>
    </x:row>
    <x:row r="227">
      <x:c r="A227" s="2" t="n">
        <x:v>9.9</x:v>
      </x:c>
      <x:c r="B227" s="3" t="n">
        <x:f>E227/$K$27*0.25</x:f>
        <x:v>0.07439657260615637</x:v>
      </x:c>
      <x:c r="C227" s="3"/>
      <x:c r="D227" s="3"/>
      <x:c r="E227" t="n">
        <x:f>IF(A227&lt;10,EXP(-((LN(10-A227)-$K$33)^2)/(2*$K$34^2))/(10-A227),0)</x:f>
        <x:v>0.7058419296443552</x:v>
      </x:c>
      <x:c r="F227" t="n">
        <x:f>(E226+E227)*(A227-A226)/2</x:f>
        <x:v>0.020332050422906176</x:v>
      </x:c>
      <x:c r="G227" t="n">
        <x:f>(A226*E226+A227*E227)*(A227-A226)/2</x:f>
        <x:v>0.20099957352921233</x:v>
      </x:c>
      <x:c r="H227" t="n">
        <x:f>H226+F227/$K$27</x:f>
        <x:v>0.9885332262641301</x:v>
      </x:c>
    </x:row>
    <x:row r="228">
      <x:c r="A228" s="2" t="n">
        <x:v>9.925</x:v>
      </x:c>
      <x:c r="B228" s="3" t="n">
        <x:f>E228/$K$27*0.25</x:f>
        <x:v>0.049072510340759226</x:v>
      </x:c>
      <x:c r="C228" s="3"/>
      <x:c r="D228" s="3"/>
      <x:c r="E228" t="n">
        <x:f>IF(A228&lt;10,EXP(-((LN(10-A228)-$K$33)^2)/(2*$K$34^2))/(10-A228),0)</x:f>
        <x:v>0.465578375159554</x:v>
      </x:c>
      <x:c r="F228" t="n">
        <x:f>(E227+E228)*(A228-A227)/2</x:f>
        <x:v>0.014642753810049073</x:v>
      </x:c>
      <x:c r="G228" t="n">
        <x:f>(A227*E227+A228*E228)*(A228-A227)/2</x:f>
        <x:v>0.1451087559617232</x:v>
      </x:c>
      <x:c r="H228" t="n">
        <x:f>H227+F228/$K$27</x:f>
        <x:v>0.9947066804114759</x:v>
      </x:c>
    </x:row>
    <x:row r="229">
      <x:c r="A229" s="2" t="n">
        <x:v>9.95</x:v>
      </x:c>
      <x:c r="B229" s="3" t="n">
        <x:f>E229/$K$27*0.25</x:f>
        <x:v>0.023719563743863355</x:v>
      </x:c>
      <x:c r="C229" s="3"/>
      <x:c r="D229" s="3"/>
      <x:c r="E229" t="n">
        <x:f>IF(A229&lt;10,EXP(-((LN(10-A229)-$K$33)^2)/(2*$K$34^2))/(10-A229),0)</x:f>
        <x:v>0.22504077885310222</x:v>
      </x:c>
      <x:c r="F229" t="n">
        <x:f>(E228+E229)*(A229-A228)/2</x:f>
        <x:v>0.008632739425157713</x:v>
      </x:c>
      <x:c r="G229" t="n">
        <x:f>(A228*E228+A229*E229)*(A229-A228)/2</x:f>
        <x:v>0.08575026403808189</x:v>
      </x:c>
      <x:c r="H229" t="n">
        <x:f>H228+F229/$K$27</x:f>
        <x:v>0.9983462841157068</x:v>
      </x:c>
    </x:row>
    <x:row r="230">
      <x:c r="A230" s="2" t="n">
        <x:v>9.975</x:v>
      </x:c>
      <x:c r="B230" s="3" t="n">
        <x:f>E230/$K$27*0.25</x:f>
        <x:v>0.004677376971007374</x:v>
      </x:c>
      <x:c r="C230" s="3"/>
      <x:c r="D230" s="3"/>
      <x:c r="E230" t="n">
        <x:f>IF(A230&lt;10,EXP(-((LN(10-A230)-$K$33)^2)/(2*$K$34^2))/(10-A230),0)</x:f>
        <x:v>0.04437689360190652</x:v>
      </x:c>
      <x:c r="F230" t="n">
        <x:f>(E229+E230)*(A230-A229)/2</x:f>
        <x:v>0.003367720905687657</x:v>
      </x:c>
      <x:c r="G230" t="n">
        <x:f>(A229*E229+A230*E230)*(A230-A229)/2</x:f>
        <x:v>0.03352269079084278</x:v>
      </x:c>
      <x:c r="H230" t="n">
        <x:f>H229+F230/$K$27</x:f>
        <x:v>0.9997661311514504</x:v>
      </x:c>
    </x:row>
    <x:row r="231">
      <x:c r="A231" s="2" t="n">
        <x:v>10</x:v>
      </x:c>
      <x:c r="B231" s="3" t="n">
        <x:f>E231/$K$27*0.25</x:f>
        <x:v>0</x:v>
      </x:c>
      <x:c r="C231" s="3"/>
      <x:c r="D231" s="3"/>
      <x:c r="E231" t="n">
        <x:f>IF(A231&lt;10,EXP(-((LN(10-A231)-$K$33)^2)/(2*$K$34^2))/(10-A231),0)</x:f>
        <x:v>0</x:v>
      </x:c>
      <x:c r="F231" t="n">
        <x:f>(E230+E231)*(A231-A230)/2</x:f>
        <x:v>0.0005547111700238393</x:v>
      </x:c>
      <x:c r="G231" t="n">
        <x:f>(A230*E230+A231*E231)*(A231-A230)/2</x:f>
        <x:v>0.0055332439209877975</x:v>
      </x:c>
      <x:c r="H231" t="n">
        <x:f>H230+F231/$K$27</x:f>
        <x:v>1.0000000000000009</x:v>
      </x:c>
    </x:row>
    <x:row r="232">
      <x:c r="A232" s="2" t="n">
        <x:f>$K$28</x:f>
        <x:v>8.730011652807294</x:v>
      </x:c>
      <x:c r="B232" s="3"/>
      <x:c r="C232" s="3" t="n">
        <x:v>0</x:v>
      </x:c>
      <x:c r="D232" s="3"/>
    </x:row>
    <x:row r="233">
      <x:c r="A233" s="2" t="n">
        <x:f>$K$28</x:f>
        <x:v>8.730011652807294</x:v>
      </x:c>
      <x:c r="B233" s="3"/>
      <x:c r="C233" s="3" t="n">
        <x:f>INDEX(B31:B231,$K$31)+($K$28-INDEX(A31:A231,$K$31))*(INDEX(B31:B231,$K$31+1)-INDEX(B31:B231,$K$31))/(INDEX(A31:A231,$K$31+1)-INDEX(A31:A231,$K$31))</x:f>
        <x:v>0.08066131843909291</x:v>
      </x:c>
      <x:c r="D233" s="3"/>
    </x:row>
    <x:row r="234">
      <x:c r="A234" s="2" t="n">
        <x:f>$K$29</x:f>
        <x:v>9.065090261077478</x:v>
      </x:c>
      <x:c r="B234" s="3"/>
      <x:c r="C234" s="3"/>
      <x:c r="D234" s="3" t="n">
        <x:v>0</x:v>
      </x:c>
    </x:row>
    <x:row r="235">
      <x:c r="A235" s="2" t="n">
        <x:f>$K$29</x:f>
        <x:v>9.065090261077478</x:v>
      </x:c>
      <x:c r="B235" s="3"/>
      <x:c r="C235" s="3"/>
      <x:c r="D235" s="3" t="n">
        <x:f>INDEX(B31:B231,$K$32)+($K$29-INDEX(A31:A231,$K$32))*(INDEX(B31:B231,$K$32+1)-INDEX(B31:B231,$K$32))/(INDEX(A31:A231,$K$32+1)-INDEX(A31:A231,$K$32))</x:f>
        <x:v>0.1124920833937908</x:v>
      </x:c>
    </x:row>
  </x:sheetData>
  <x:pageMargins left="0.7" right="0.7" top="0.75" bottom="0.75" header="0.3" footer="0.3"/>
  <x:drawing xmlns:r="http://schemas.openxmlformats.org/officeDocument/2006/relationships" r:id="Rdb41b87ae3134d9f"/>
</x:worksheet>
</file>